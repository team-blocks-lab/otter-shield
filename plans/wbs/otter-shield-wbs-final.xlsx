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9c37bd7649a476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게시용 1-39" sheetId="1" r:id="R526bae6381da4f03"/>
    <x:sheet xmlns:r="http://schemas.openxmlformats.org/officeDocument/2006/relationships" name="게시용 40-73" sheetId="2" r:id="Rd45ba8a368eb402f"/>
    <x:sheet xmlns:r="http://schemas.openxmlformats.org/officeDocument/2006/relationships" name="상세실행" sheetId="3" r:id="R8f6a21c5d3724828"/>
    <x:sheet xmlns:r="http://schemas.openxmlformats.org/officeDocument/2006/relationships" name="변경·인계" sheetId="4" r:id="Re108d49fbacd469c"/>
    <x:sheet xmlns:r="http://schemas.openxmlformats.org/officeDocument/2006/relationships" name="M5 시간계획" sheetId="5" r:id="R78c0165d754e4c7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mm/dd"/>
    <x:numFmt numFmtId="201" formatCode="yyyy-mm-dd"/>
    <x:numFmt numFmtId="202" formatCode="0.00"/>
  </x:numFmts>
  <x:fonts count="18">
    <x:font>
      <x:sz val="11"/>
      <x:name val="Carlito"/>
    </x:font>
    <x:font>
      <x:sz val="10"/>
      <x:color rgb="FF20344B"/>
      <x:name val="NanumGothic"/>
    </x:font>
    <x:font>
      <x:b/>
      <x:sz val="16"/>
      <x:color rgb="FF20344B"/>
      <x:name val="NanumGothic"/>
    </x:font>
    <x:font>
      <x:b/>
      <x:sz val="11"/>
      <x:color rgb="FF53779B"/>
      <x:name val="NanumGothic"/>
    </x:font>
    <x:font>
      <x:sz val="9"/>
      <x:color rgb="FF536171"/>
      <x:name val="NanumGothic"/>
    </x:font>
    <x:font>
      <x:b/>
      <x:sz val="10"/>
      <x:color rgb="FFFFFFFF"/>
      <x:name val="NanumGothic"/>
    </x:font>
    <x:font>
      <x:b/>
      <x:sz val="9"/>
      <x:color rgb="FFFFFFFF"/>
      <x:name val="NanumGothic"/>
    </x:font>
    <x:font>
      <x:b/>
      <x:sz val="9"/>
      <x:color rgb="FF20344B"/>
      <x:name val="NanumGothic"/>
    </x:font>
    <x:font>
      <x:sz val="9"/>
      <x:color rgb="FF20344B"/>
      <x:name val="NanumGothic"/>
    </x:font>
    <x:font>
      <x:b/>
      <x:sz val="8"/>
      <x:color rgb="FF20344B"/>
      <x:name val="NanumGothic"/>
    </x:font>
    <x:font>
      <x:sz val="8"/>
      <x:color rgb="FF697889"/>
      <x:name val="NanumGothic"/>
    </x:font>
    <x:font>
      <x:sz val="10"/>
      <x:color rgb="FF243447"/>
      <x:name val="Malgun Gothic"/>
    </x:font>
    <x:font>
      <x:b/>
      <x:sz val="15"/>
      <x:color rgb="FF20364D"/>
      <x:name val="Malgun Gothic"/>
    </x:font>
    <x:font>
      <x:b/>
      <x:sz val="10"/>
      <x:color rgb="FFFFFFFF"/>
      <x:name val="Malgun Gothic"/>
    </x:font>
    <x:font>
      <x:b/>
      <x:sz val="14"/>
      <x:name val="Carlito"/>
    </x:font>
    <x:font>
      <x:b/>
      <x:sz val="11"/>
      <x:color rgb="FFFFFFFF"/>
      <x:name val="Carlito"/>
    </x:font>
    <x:font>
      <x:sz val="10"/>
      <x:name val="Malgun Gothic"/>
    </x:font>
    <x:font>
      <x:b/>
      <x:sz val="11"/>
      <x:name val="Carlito"/>
    </x:font>
  </x:fonts>
  <x:fills count="18">
    <x:fill>
      <x:patternFill patternType="none"/>
    </x:fill>
    <x:fill>
      <x:patternFill patternType="gray125"/>
    </x:fill>
    <x:fill>
      <x:patternFill patternType="solid">
        <x:fgColor rgb="FF20344B"/>
      </x:patternFill>
    </x:fill>
    <x:fill>
      <x:patternFill patternType="solid">
        <x:fgColor rgb="FFE7EDF3"/>
      </x:patternFill>
    </x:fill>
    <x:fill>
      <x:patternFill patternType="solid">
        <x:fgColor rgb="FFD9E2EB"/>
      </x:patternFill>
    </x:fill>
    <x:fill>
      <x:patternFill patternType="solid">
        <x:fgColor rgb="FFFFFFFF"/>
      </x:patternFill>
    </x:fill>
    <x:fill>
      <x:patternFill patternType="solid">
        <x:fgColor rgb="FFEDF4FA"/>
      </x:patternFill>
    </x:fill>
    <x:fill>
      <x:patternFill patternType="solid">
        <x:fgColor rgb="FFF4F5F7"/>
      </x:patternFill>
    </x:fill>
    <x:fill>
      <x:patternFill patternType="solid">
        <x:fgColor rgb="FFF8FAFC"/>
      </x:patternFill>
    </x:fill>
    <x:fill>
      <x:patternFill patternType="solid">
        <x:fgColor rgb="FFFFFFFF"/>
      </x:patternFill>
    </x:fill>
    <x:fill>
      <x:patternFill patternType="solid">
        <x:fgColor rgb="FFE8EDF3"/>
      </x:patternFill>
    </x:fill>
    <x:fill>
      <x:patternFill patternType="solid">
        <x:fgColor rgb="FFFCE8D6"/>
      </x:patternFill>
    </x:fill>
    <x:fill>
      <x:patternFill patternType="solid">
        <x:fgColor rgb="FFDCE8F7"/>
      </x:patternFill>
    </x:fill>
    <x:fill>
      <x:patternFill patternType="solid">
        <x:fgColor rgb="FFE9E1F1"/>
      </x:patternFill>
    </x:fill>
    <x:fill>
      <x:patternFill patternType="solid">
        <x:fgColor rgb="FFDDEDE9"/>
      </x:patternFill>
    </x:fill>
    <x:fill>
      <x:patternFill patternType="solid">
        <x:fgColor rgb="FFE1ECDD"/>
      </x:patternFill>
    </x:fill>
    <x:fill>
      <x:patternFill patternType="solid">
        <x:fgColor rgb="FF20364D"/>
      </x:patternFill>
    </x:fill>
    <x:fill>
      <x:patternFill patternType="solid">
        <x:fgColor rgb="FFFFF4D8"/>
      </x:patternFill>
    </x:fill>
  </x:fills>
  <x:borders count="6">
    <x:border>
      <x:left/>
      <x:right/>
      <x:top/>
      <x:bottom/>
      <x:diagonal/>
    </x:border>
    <x:border>
      <x:left style="thin">
        <x:color rgb="FF68829B"/>
      </x:left>
      <x:right style="thin">
        <x:color rgb="FF68829B"/>
      </x:right>
      <x:top style="thin">
        <x:color rgb="FF68829B"/>
      </x:top>
      <x:bottom style="thin">
        <x:color rgb="FF68829B"/>
      </x:bottom>
      <x:diagonal/>
    </x:border>
    <x:border>
      <x:left/>
      <x:right/>
      <x:top/>
      <x:bottom style="thin">
        <x:color rgb="FFC9D2DC"/>
      </x:bottom>
      <x:diagonal/>
    </x:border>
    <x:border>
      <x:left style="thin">
        <x:color rgb="FF68829B"/>
      </x:left>
      <x:right style="thin">
        <x:color rgb="FF68829B"/>
      </x:right>
      <x:top style="thin">
        <x:color rgb="FF68829B"/>
      </x:top>
      <x:bottom style="thin">
        <x:color rgb="FFC9D2DC"/>
      </x:bottom>
      <x:diagonal/>
    </x:border>
    <x:border>
      <x:left style="thin">
        <x:color rgb="FFE2E7EB"/>
      </x:left>
      <x:right style="thin">
        <x:color rgb="FFE2E7EB"/>
      </x:right>
      <x:top style="thin">
        <x:color rgb="FFE2E7EB"/>
      </x:top>
      <x:bottom style="thin">
        <x:color rgb="FFE2E7EB"/>
      </x:bottom>
      <x:diagonal/>
    </x:border>
    <x:border>
      <x:left style="thin">
        <x:color rgb="FF92AEC8"/>
      </x:left>
      <x:right style="thin">
        <x:color rgb="FF92AEC8"/>
      </x:right>
      <x:top style="thin">
        <x:color rgb="FF92AEC8"/>
      </x:top>
      <x:bottom style="thin">
        <x:color rgb="FF92AEC8"/>
      </x:bottom>
      <x:diagonal/>
    </x:border>
  </x:borders>
  <x:cellStyleXfs count="1">
    <x:xf numFmtId="0" fontId="0" fillId="0" borderId="0"/>
  </x:cellStyleXfs>
  <x:cellXfs count="99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4" fillId="0" borderId="0" xfId="0" applyNumberFormat="1" applyFont="1" applyFill="1" applyBorder="1"/>
    <x:xf numFmtId="0" fontId="0" fillId="2" borderId="0" xfId="0" applyNumberFormat="1" applyFont="1" applyFill="1" applyBorder="1"/>
    <x:xf numFmtId="0" fontId="5" fillId="2" borderId="0" xfId="0" applyNumberFormat="1" applyFont="1" applyFill="1" applyBorder="1"/>
    <x:xf numFmtId="0" fontId="5" fillId="2" borderId="0" xfId="0" applyNumberFormat="1" applyFont="1" applyFill="1" applyBorder="1" applyAlignment="1">
      <x:alignment vertical="center"/>
    </x:xf>
    <x:xf numFmtId="0" fontId="6" fillId="2" borderId="0" xfId="0" applyNumberFormat="1" applyFont="1" applyFill="1" applyBorder="1"/>
    <x:xf numFmtId="0" fontId="6" fillId="2" borderId="0" xfId="0" applyNumberFormat="1" applyFont="1" applyFill="1" applyBorder="1" applyAlignment="1">
      <x:alignment horizontal="center"/>
    </x:xf>
    <x:xf numFmtId="0" fontId="6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7" fillId="3" borderId="0" xfId="0" applyNumberFormat="1" applyFont="1" applyFill="1" applyBorder="1"/>
    <x:xf numFmtId="0" fontId="7" fillId="3" borderId="0" xfId="0" applyNumberFormat="1" applyFont="1" applyFill="1" applyBorder="1" applyAlignment="1">
      <x:alignment horizontal="center"/>
    </x:xf>
    <x:xf numFmtId="0" fontId="7" fillId="3" borderId="0" xfId="0" applyNumberFormat="1" applyFont="1" applyFill="1" applyBorder="1" applyAlignment="1">
      <x:alignment horizontal="center" vertical="center"/>
    </x:xf>
    <x:xf numFmtId="0" fontId="7" fillId="3" borderId="0" xfId="0" applyNumberFormat="1" applyFont="1" applyFill="1" applyBorder="1" applyAlignment="1">
      <x:alignment horizontal="left" vertical="center"/>
    </x:xf>
    <x:xf numFmtId="0" fontId="8" fillId="0" borderId="0" xfId="0" applyNumberFormat="1" applyFont="1" applyFill="1" applyBorder="1"/>
    <x:xf numFmtId="0" fontId="8" fillId="0" borderId="0" xfId="0" applyNumberFormat="1" applyFont="1" applyFill="1" applyBorder="1" applyAlignment="1">
      <x:alignment vertical="center"/>
    </x:xf>
    <x:xf numFmtId="0" fontId="7" fillId="0" borderId="0" xfId="0" applyNumberFormat="1" applyFont="1" applyFill="1" applyBorder="1" applyAlignment="1">
      <x:alignment vertical="center"/>
    </x:xf>
    <x:xf numFmtId="0" fontId="8" fillId="0" borderId="0" xfId="0" applyNumberFormat="1" applyFont="1" applyFill="1" applyBorder="1" applyAlignment="1">
      <x:alignment horizontal="center" vertical="center"/>
    </x:xf>
    <x:xf numFmtId="0" fontId="8" fillId="0" borderId="1" xfId="0" applyNumberFormat="1" applyFont="1" applyFill="1" applyBorder="1" applyAlignment="1">
      <x:alignment horizontal="center" vertical="center"/>
    </x:xf>
    <x:xf numFmtId="0" fontId="7" fillId="0" borderId="2" xfId="0" applyNumberFormat="1" applyFont="1" applyFill="1" applyBorder="1" applyAlignment="1">
      <x:alignment vertical="center"/>
    </x:xf>
    <x:xf numFmtId="0" fontId="8" fillId="0" borderId="2" xfId="0" applyNumberFormat="1" applyFont="1" applyFill="1" applyBorder="1" applyAlignment="1">
      <x:alignment vertical="center"/>
    </x:xf>
    <x:xf numFmtId="0" fontId="8" fillId="0" borderId="2" xfId="0" applyNumberFormat="1" applyFont="1" applyFill="1" applyBorder="1" applyAlignment="1">
      <x:alignment horizontal="center" vertical="center"/>
    </x:xf>
    <x:xf numFmtId="0" fontId="8" fillId="0" borderId="3" xfId="0" applyNumberFormat="1" applyFont="1" applyFill="1" applyBorder="1" applyAlignment="1">
      <x:alignment horizontal="center" vertical="center"/>
    </x:xf>
    <x:xf numFmtId="0" fontId="8" fillId="4" borderId="3" xfId="0" applyNumberFormat="1" applyFont="1" applyFill="1" applyBorder="1" applyAlignment="1">
      <x:alignment horizontal="center" vertical="center"/>
    </x:xf>
    <x:xf numFmtId="0" fontId="9" fillId="4" borderId="3" xfId="0" applyNumberFormat="1" applyFont="1" applyFill="1" applyBorder="1" applyAlignment="1">
      <x:alignment horizontal="center" vertical="center"/>
    </x:xf>
    <x:xf numFmtId="0" fontId="9" fillId="4" borderId="1" xfId="0" applyNumberFormat="1" applyFont="1" applyFill="1" applyBorder="1" applyAlignment="1">
      <x:alignment horizontal="center" vertical="center"/>
    </x:xf>
    <x:xf numFmtId="0" fontId="8" fillId="5" borderId="0" xfId="0" applyNumberFormat="1" applyFont="1" applyFill="1" applyBorder="1" applyAlignment="1">
      <x:alignment vertical="center"/>
    </x:xf>
    <x:xf numFmtId="0" fontId="8" fillId="5" borderId="4" xfId="0" applyNumberFormat="1" applyFont="1" applyFill="1" applyBorder="1" applyAlignment="1">
      <x:alignment vertical="center"/>
    </x:xf>
    <x:xf numFmtId="0" fontId="8" fillId="6" borderId="0" xfId="0" applyNumberFormat="1" applyFont="1" applyFill="1" applyBorder="1" applyAlignment="1">
      <x:alignment vertical="center"/>
    </x:xf>
    <x:xf numFmtId="0" fontId="8" fillId="6" borderId="5" xfId="0" applyNumberFormat="1" applyFont="1" applyFill="1" applyBorder="1" applyAlignment="1">
      <x:alignment vertical="center"/>
    </x:xf>
    <x:xf numFmtId="0" fontId="8" fillId="7" borderId="0" xfId="0" applyNumberFormat="1" applyFont="1" applyFill="1" applyBorder="1" applyAlignment="1">
      <x:alignment vertical="center"/>
    </x:xf>
    <x:xf numFmtId="0" fontId="8" fillId="7" borderId="4" xfId="0" applyNumberFormat="1" applyFont="1" applyFill="1" applyBorder="1" applyAlignment="1">
      <x:alignment vertical="center"/>
    </x:xf>
    <x:xf numFmtId="0" fontId="7" fillId="8" borderId="0" xfId="0" applyNumberFormat="1" applyFont="1" applyFill="1" applyBorder="1" applyAlignment="1">
      <x:alignment vertical="center"/>
    </x:xf>
    <x:xf numFmtId="0" fontId="8" fillId="8" borderId="0" xfId="0" applyNumberFormat="1" applyFont="1" applyFill="1" applyBorder="1" applyAlignment="1">
      <x:alignment vertical="center"/>
    </x:xf>
    <x:xf numFmtId="0" fontId="8" fillId="8" borderId="0" xfId="0" applyNumberFormat="1" applyFont="1" applyFill="1" applyBorder="1" applyAlignment="1">
      <x:alignment horizontal="center" vertical="center"/>
    </x:xf>
    <x:xf numFmtId="0" fontId="8" fillId="8" borderId="1" xfId="0" applyNumberFormat="1" applyFont="1" applyFill="1" applyBorder="1" applyAlignment="1">
      <x:alignment horizontal="center" vertical="center"/>
    </x:xf>
    <x:xf numFmtId="0" fontId="7" fillId="8" borderId="2" xfId="0" applyNumberFormat="1" applyFont="1" applyFill="1" applyBorder="1" applyAlignment="1">
      <x:alignment vertical="center"/>
    </x:xf>
    <x:xf numFmtId="0" fontId="8" fillId="8" borderId="2" xfId="0" applyNumberFormat="1" applyFont="1" applyFill="1" applyBorder="1" applyAlignment="1">
      <x:alignment vertical="center"/>
    </x:xf>
    <x:xf numFmtId="0" fontId="8" fillId="8" borderId="2" xfId="0" applyNumberFormat="1" applyFont="1" applyFill="1" applyBorder="1" applyAlignment="1">
      <x:alignment horizontal="center" vertical="center"/>
    </x:xf>
    <x:xf numFmtId="0" fontId="8" fillId="8" borderId="3" xfId="0" applyNumberFormat="1" applyFont="1" applyFill="1" applyBorder="1" applyAlignment="1">
      <x:alignment horizontal="center" vertical="center"/>
    </x:xf>
    <x:xf numFmtId="0" fontId="10" fillId="0" borderId="0" xfId="0" applyNumberFormat="1" applyFont="1" applyFill="1" applyBorder="1"/>
    <x:xf numFmtId="0" fontId="8" fillId="0" borderId="2" xfId="0" applyNumberFormat="1" applyFont="1" applyFill="1" applyBorder="1" applyAlignment="1">
      <x:alignment vertical="center" wrapText="1"/>
    </x:xf>
    <x:xf numFmtId="0" fontId="8" fillId="0" borderId="2" xfId="0" applyNumberFormat="1" applyFont="1" applyFill="1" applyBorder="1" applyAlignment="1">
      <x:alignment horizontal="center" vertical="center" wrapText="1"/>
    </x:xf>
    <x:xf numFmtId="0" fontId="8" fillId="8" borderId="2" xfId="0" applyNumberFormat="1" applyFont="1" applyFill="1" applyBorder="1" applyAlignment="1">
      <x:alignment vertical="center" wrapText="1"/>
    </x:xf>
    <x:xf numFmtId="0" fontId="8" fillId="8" borderId="2" xfId="0" applyNumberFormat="1" applyFont="1" applyFill="1" applyBorder="1" applyAlignment="1">
      <x:alignment horizontal="center" vertical="center" wrapText="1"/>
    </x:xf>
    <x:xf numFmtId="0" fontId="9" fillId="4" borderId="1" xfId="0" applyNumberFormat="1" applyFont="1" applyFill="1" applyBorder="1" applyAlignment="1">
      <x:alignment horizontal="center" vertical="center" wrapText="1"/>
    </x:xf>
    <x:xf numFmtId="0" fontId="8" fillId="8" borderId="3" xfId="0" applyNumberFormat="1" applyFont="1" applyFill="1" applyBorder="1" applyAlignment="1">
      <x:alignment horizontal="center" vertical="center" wrapText="1"/>
    </x:xf>
    <x:xf numFmtId="0" fontId="8" fillId="0" borderId="3" xfId="0" applyNumberFormat="1" applyFont="1" applyFill="1" applyBorder="1" applyAlignment="1">
      <x:alignment horizontal="center" vertical="center" wrapText="1"/>
    </x:xf>
    <x:xf numFmtId="200" fontId="8" fillId="0" borderId="2" xfId="0" applyNumberFormat="1" applyFont="1" applyFill="1" applyBorder="1" applyAlignment="1">
      <x:alignment horizontal="center" vertical="center"/>
    </x:xf>
    <x:xf numFmtId="200" fontId="8" fillId="8" borderId="2" xfId="0" applyNumberFormat="1" applyFont="1" applyFill="1" applyBorder="1" applyAlignment="1">
      <x:alignment horizontal="center" vertical="center"/>
    </x:xf>
    <x:xf numFmtId="0" fontId="8" fillId="9" borderId="4" xfId="0" applyNumberFormat="1" applyFont="1" applyFill="1" applyBorder="1" applyAlignment="1">
      <x:alignment vertical="center"/>
    </x:xf>
    <x:xf numFmtId="0" fontId="8" fillId="9" borderId="5" xfId="0" applyNumberFormat="1" applyFont="1" applyFill="1" applyBorder="1" applyAlignment="1">
      <x:alignment vertical="center"/>
    </x:xf>
    <x:xf numFmtId="0" fontId="8" fillId="10" borderId="4" xfId="0" applyNumberFormat="1" applyFont="1" applyFill="1" applyBorder="1" applyAlignment="1">
      <x:alignment vertical="center"/>
    </x:xf>
    <x:xf numFmtId="0" fontId="8" fillId="11" borderId="4" xfId="0" applyNumberFormat="1" applyFont="1" applyFill="1" applyBorder="1" applyAlignment="1">
      <x:alignment vertical="center"/>
    </x:xf>
    <x:xf numFmtId="0" fontId="8" fillId="12" borderId="5" xfId="0" applyNumberFormat="1" applyFont="1" applyFill="1" applyBorder="1" applyAlignment="1">
      <x:alignment vertical="center"/>
    </x:xf>
    <x:xf numFmtId="0" fontId="8" fillId="12" borderId="4" xfId="0" applyNumberFormat="1" applyFont="1" applyFill="1" applyBorder="1" applyAlignment="1">
      <x:alignment vertical="center"/>
    </x:xf>
    <x:xf numFmtId="0" fontId="8" fillId="13" borderId="5" xfId="0" applyNumberFormat="1" applyFont="1" applyFill="1" applyBorder="1" applyAlignment="1">
      <x:alignment vertical="center"/>
    </x:xf>
    <x:xf numFmtId="0" fontId="8" fillId="13" borderId="4" xfId="0" applyNumberFormat="1" applyFont="1" applyFill="1" applyBorder="1" applyAlignment="1">
      <x:alignment vertical="center"/>
    </x:xf>
    <x:xf numFmtId="0" fontId="8" fillId="14" borderId="5" xfId="0" applyNumberFormat="1" applyFont="1" applyFill="1" applyBorder="1" applyAlignment="1">
      <x:alignment vertical="center"/>
    </x:xf>
    <x:xf numFmtId="0" fontId="8" fillId="14" borderId="4" xfId="0" applyNumberFormat="1" applyFont="1" applyFill="1" applyBorder="1" applyAlignment="1">
      <x:alignment vertical="center"/>
    </x:xf>
    <x:xf numFmtId="0" fontId="8" fillId="15" borderId="5" xfId="0" applyNumberFormat="1" applyFont="1" applyFill="1" applyBorder="1" applyAlignment="1">
      <x:alignment vertical="center"/>
    </x:xf>
    <x:xf numFmtId="0" fontId="8" fillId="15" borderId="4" xfId="0" applyNumberFormat="1" applyFont="1" applyFill="1" applyBorder="1" applyAlignment="1">
      <x:alignment vertical="center"/>
    </x:xf>
    <x:xf numFmtId="0" fontId="8" fillId="11" borderId="5" xfId="0" applyNumberFormat="1" applyFont="1" applyFill="1" applyBorder="1" applyAlignment="1">
      <x:alignment vertical="center"/>
    </x:xf>
    <x:xf numFmtId="0" fontId="8" fillId="10" borderId="5" xfId="0" applyNumberFormat="1" applyFont="1" applyFill="1" applyBorder="1" applyAlignment="1">
      <x:alignment vertical="center"/>
    </x:xf>
    <x:xf numFmtId="0" fontId="11" fillId="0" borderId="0" xfId="0" applyNumberFormat="1" applyFont="1" applyFill="1" applyBorder="1"/>
    <x:xf numFmtId="0" fontId="11" fillId="0" borderId="0" xfId="0" applyNumberFormat="1" applyFont="1" applyFill="1" applyBorder="1" applyAlignment="1">
      <x:alignment vertical="top"/>
    </x:xf>
    <x:xf numFmtId="0" fontId="12" fillId="0" borderId="0" xfId="0" applyNumberFormat="1" applyFont="1" applyFill="1" applyBorder="1" applyAlignment="1">
      <x:alignment vertical="top"/>
    </x:xf>
    <x:xf numFmtId="0" fontId="11" fillId="16" borderId="0" xfId="0" applyNumberFormat="1" applyFont="1" applyFill="1" applyBorder="1" applyAlignment="1">
      <x:alignment vertical="top"/>
    </x:xf>
    <x:xf numFmtId="0" fontId="13" fillId="16" borderId="0" xfId="0" applyNumberFormat="1" applyFont="1" applyFill="1" applyBorder="1" applyAlignment="1">
      <x:alignment vertical="top"/>
    </x:xf>
    <x:xf numFmtId="0" fontId="13" fillId="16" borderId="0" xfId="0" applyNumberFormat="1" applyFont="1" applyFill="1" applyBorder="1" applyAlignment="1">
      <x:alignment vertical="top" wrapText="1"/>
    </x:xf>
    <x:xf numFmtId="0" fontId="13" fillId="16" borderId="0" xfId="0" applyNumberFormat="1" applyFont="1" applyFill="1" applyBorder="1" applyAlignment="1">
      <x:alignment horizontal="center" vertical="top" wrapText="1"/>
    </x:xf>
    <x:xf numFmtId="0" fontId="13" fillId="16" borderId="0" xfId="0" applyNumberFormat="1" applyFont="1" applyFill="1" applyBorder="1" applyAlignment="1">
      <x:alignment horizontal="center" vertical="center" wrapText="1"/>
    </x:xf>
    <x:xf numFmtId="0" fontId="11" fillId="0" borderId="0" xfId="0" applyNumberFormat="1" applyFont="1" applyFill="1" applyBorder="1" applyAlignment="1">
      <x:alignment vertical="top" wrapText="1"/>
    </x:xf>
    <x:xf numFmtId="200" fontId="11" fillId="0" borderId="0" xfId="0" applyNumberFormat="1" applyFont="1" applyFill="1" applyBorder="1" applyAlignment="1">
      <x:alignment vertical="top" wrapText="1"/>
    </x:xf>
    <x:xf numFmtId="0" fontId="11" fillId="10" borderId="0" xfId="0" applyNumberFormat="1" applyFont="1" applyFill="1" applyBorder="1" applyAlignment="1">
      <x:alignment vertical="top" wrapText="1"/>
    </x:xf>
    <x:xf numFmtId="0" fontId="11" fillId="12" borderId="0" xfId="0" applyNumberFormat="1" applyFont="1" applyFill="1" applyBorder="1" applyAlignment="1">
      <x:alignment vertical="top" wrapText="1"/>
    </x:xf>
    <x:xf numFmtId="0" fontId="11" fillId="13" borderId="0" xfId="0" applyNumberFormat="1" applyFont="1" applyFill="1" applyBorder="1" applyAlignment="1">
      <x:alignment vertical="top" wrapText="1"/>
    </x:xf>
    <x:xf numFmtId="0" fontId="11" fillId="14" borderId="0" xfId="0" applyNumberFormat="1" applyFont="1" applyFill="1" applyBorder="1" applyAlignment="1">
      <x:alignment vertical="top" wrapText="1"/>
    </x:xf>
    <x:xf numFmtId="0" fontId="11" fillId="15" borderId="0" xfId="0" applyNumberFormat="1" applyFont="1" applyFill="1" applyBorder="1" applyAlignment="1">
      <x:alignment vertical="top" wrapText="1"/>
    </x:xf>
    <x:xf numFmtId="0" fontId="11" fillId="11" borderId="0" xfId="0" applyNumberFormat="1" applyFont="1" applyFill="1" applyBorder="1" applyAlignment="1">
      <x:alignment vertical="top" wrapText="1"/>
    </x:xf>
    <x:xf numFmtId="0" fontId="14" fillId="0" borderId="0" xfId="0" applyNumberFormat="1" applyFont="1" applyFill="1" applyBorder="1"/>
    <x:xf numFmtId="0" fontId="0" fillId="16" borderId="0" xfId="0" applyNumberFormat="1" applyFont="1" applyFill="1" applyBorder="1"/>
    <x:xf numFmtId="0" fontId="15" fillId="16" borderId="0" xfId="0" applyNumberFormat="1" applyFont="1" applyFill="1" applyBorder="1"/>
    <x:xf numFmtId="201" fontId="0" fillId="0" borderId="0" xfId="0" applyNumberFormat="1" applyFont="1" applyFill="1" applyBorder="1"/>
    <x:xf numFmtId="201" fontId="16" fillId="0" borderId="0" xfId="0" applyNumberFormat="1" applyFont="1" applyFill="1" applyBorder="1"/>
    <x:xf numFmtId="0" fontId="16" fillId="0" borderId="0" xfId="0" applyNumberFormat="1" applyFont="1" applyFill="1" applyBorder="1"/>
    <x:xf numFmtId="201" fontId="16" fillId="0" borderId="0" xfId="0" applyNumberFormat="1" applyFont="1" applyFill="1" applyBorder="1" applyAlignment="1">
      <x:alignment wrapText="1"/>
    </x:xf>
    <x:xf numFmtId="0" fontId="16" fillId="0" borderId="0" xfId="0" applyNumberFormat="1" applyFont="1" applyFill="1" applyBorder="1" applyAlignment="1">
      <x:alignment wrapText="1"/>
    </x:xf>
    <x:xf numFmtId="201" fontId="16" fillId="0" borderId="0" xfId="0" applyNumberFormat="1" applyFont="1" applyFill="1" applyBorder="1" applyAlignment="1">
      <x:alignment vertical="top" wrapText="1"/>
    </x:xf>
    <x:xf numFmtId="0" fontId="16" fillId="0" borderId="0" xfId="0" applyNumberFormat="1" applyFont="1" applyFill="1" applyBorder="1" applyAlignment="1">
      <x:alignment vertical="top" wrapText="1"/>
    </x:xf>
    <x:xf numFmtId="202" fontId="11" fillId="0" borderId="0" xfId="0" applyNumberFormat="1" applyFont="1" applyFill="1" applyBorder="1" applyAlignment="1">
      <x:alignment vertical="top" wrapText="1"/>
    </x:xf>
    <x:xf numFmtId="202" fontId="0" fillId="0" borderId="0" xfId="0" applyNumberFormat="1" applyFont="1" applyFill="1" applyBorder="1"/>
    <x:xf numFmtId="202" fontId="11" fillId="17" borderId="0" xfId="0" applyNumberFormat="1" applyFont="1" applyFill="1" applyBorder="1" applyAlignment="1">
      <x:alignment vertical="top" wrapText="1"/>
    </x:xf>
    <x:xf numFmtId="0" fontId="0" fillId="10" borderId="0" xfId="0" applyNumberFormat="1" applyFont="1" applyFill="1" applyBorder="1"/>
    <x:xf numFmtId="202" fontId="0" fillId="10" borderId="0" xfId="0" applyNumberFormat="1" applyFont="1" applyFill="1" applyBorder="1"/>
    <x:xf numFmtId="0" fontId="17" fillId="10" borderId="0" xfId="0" applyNumberFormat="1" applyFont="1" applyFill="1" applyBorder="1"/>
    <x:xf numFmtId="202" fontId="17" fillId="10" borderId="0" xfId="0" applyNumberFormat="1" applyFont="1" applyFill="1" applyBorder="1"/>
  </x:cellXfs>
  <x:cellStyles count="1">
    <x:cellStyle name="Normal" xfId="0"/>
  </x:cellStyles>
  <x:dxfs count="3">
    <x:dxf>
      <x:font>
        <x:b/>
        <x:color rgb="FF9A302B"/>
      </x:font>
      <x:fill>
        <x:patternFill patternType="solid">
          <x:bgColor rgb="FFFCE1DF"/>
        </x:patternFill>
      </x:fill>
    </x:dxf>
    <x:dxf>
      <x:font>
        <x:color rgb="FF805A1D"/>
      </x:font>
      <x:fill>
        <x:patternFill patternType="solid">
          <x:bgColor rgb="FFFFF1D5"/>
        </x:patternFill>
      </x:fill>
    </x:dxf>
    <x:dxf>
      <x:font>
        <x:b/>
        <x:color rgb="FF9A302B"/>
      </x:font>
      <x:fill>
        <x:patternFill patternType="solid">
          <x:bgColor rgb="FFFCE1DF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c52f06fb96343ed" /><Relationship Type="http://schemas.openxmlformats.org/officeDocument/2006/relationships/theme" Target="/xl/theme/theme1.xml" Id="R1a4ff4a942ba4eea" /><Relationship Type="http://schemas.openxmlformats.org/officeDocument/2006/relationships/sharedStrings" Target="/xl/sharedStrings.xml" Id="R658c79ae76b0462b" /><Relationship Type="http://schemas.openxmlformats.org/officeDocument/2006/relationships/worksheet" Target="/xl/worksheets/sheet1.xml" Id="R526bae6381da4f03" /><Relationship Type="http://schemas.openxmlformats.org/officeDocument/2006/relationships/worksheet" Target="/xl/worksheets/sheet2.xml" Id="Rd45ba8a368eb402f" /><Relationship Type="http://schemas.openxmlformats.org/officeDocument/2006/relationships/worksheet" Target="/xl/worksheets/sheet3.xml" Id="R8f6a21c5d3724828" /><Relationship Type="http://schemas.openxmlformats.org/officeDocument/2006/relationships/worksheet" Target="/xl/worksheets/sheet4.xml" Id="Re108d49fbacd469c" /><Relationship Type="http://schemas.openxmlformats.org/officeDocument/2006/relationships/worksheet" Target="/xl/worksheets/sheet5.xml" Id="R78c0165d754e4c76" /></Relationships>
</file>

<file path=xl/tables/table1.xml><?xml version="1.0" encoding="utf-8"?>
<x:table xmlns:x="http://schemas.openxmlformats.org/spreadsheetml/2006/main" id="1" name="ActionTasks" displayName="ActionTasks" ref="A5:L141" headerRowCount="1" totalsRowCount="0" totalsRowShown="0">
  <x:tableColumns count="12">
    <x:tableColumn id="1" name="실행 ID"/>
    <x:tableColumn id="2" name="단계"/>
    <x:tableColumn id="3" name="작업"/>
    <x:tableColumn id="4" name="담당"/>
    <x:tableColumn id="5" name="시작 목표"/>
    <x:tableColumn id="6" name="종료 목표"/>
    <x:tableColumn id="7" name="선행 작업"/>
    <x:tableColumn id="8" name="완료를 확인할 결과"/>
    <x:tableColumn id="9" name="인계 대상"/>
    <x:tableColumn id="10" name="Issue"/>
    <x:tableColumn id="11" name="현재 기준"/>
    <x:tableColumn id="12" name="실행 시 확인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1.xml" Id="R7d10e65ebc0d4e34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8.5" hidden="0" customWidth="1"/>
    <x:col min="2" max="2" width="38" hidden="0" customWidth="1"/>
    <x:col min="3" max="3" width="11" hidden="0" customWidth="1"/>
    <x:col min="4" max="4" width="8.5" hidden="0" customWidth="1"/>
    <x:col min="5" max="5" width="15" hidden="0" customWidth="1"/>
    <x:col min="6" max="6" width="2.75" hidden="0" customWidth="1"/>
    <x:col min="7" max="7" width="2.75" hidden="0" customWidth="1"/>
    <x:col min="8" max="8" width="2.75" hidden="0" customWidth="1"/>
    <x:col min="9" max="9" width="2.75" hidden="0" customWidth="1"/>
    <x:col min="10" max="10" width="2.75" hidden="0" customWidth="1"/>
    <x:col min="11" max="11" width="2.75" hidden="0" customWidth="1"/>
    <x:col min="12" max="12" width="2.75" hidden="0" customWidth="1"/>
    <x:col min="13" max="13" width="2.75" hidden="0" customWidth="1"/>
    <x:col min="14" max="14" width="2.75" hidden="0" customWidth="1"/>
    <x:col min="15" max="15" width="2.75" hidden="0" customWidth="1"/>
    <x:col min="16" max="16" width="2.75" hidden="0" customWidth="1"/>
    <x:col min="17" max="17" width="2.75" hidden="0" customWidth="1"/>
    <x:col min="18" max="18" width="2.75" hidden="0" customWidth="1"/>
    <x:col min="19" max="19" width="2.75" hidden="0" customWidth="1"/>
    <x:col min="20" max="20" width="2.75" hidden="0" customWidth="1"/>
    <x:col min="21" max="21" width="2.75" hidden="0" customWidth="1"/>
    <x:col min="22" max="22" width="2.75" hidden="0" customWidth="1"/>
    <x:col min="23" max="23" width="2.75" hidden="0" customWidth="1"/>
    <x:col min="24" max="24" width="2.75" hidden="0" customWidth="1"/>
    <x:col min="25" max="25" width="2.75" hidden="0" customWidth="1"/>
    <x:col min="26" max="26" width="2.75" hidden="0" customWidth="1"/>
    <x:col min="27" max="27" width="2.75" hidden="0" customWidth="1"/>
    <x:col min="28" max="28" width="2.75" hidden="0" customWidth="1"/>
    <x:col min="29" max="29" width="2.75" hidden="0" customWidth="1"/>
    <x:col min="30" max="30" width="2.75" hidden="0" customWidth="1"/>
    <x:col min="31" max="31" width="2.75" hidden="0" customWidth="1"/>
    <x:col min="32" max="32" width="2.75" hidden="0" customWidth="1"/>
    <x:col min="33" max="33" width="2.75" hidden="0" customWidth="1"/>
    <x:col min="34" max="34" width="2.75" hidden="0" customWidth="1"/>
  </x:cols>
  <x:sheetData>
    <x:row r="1" ht="34" customHeight="1">
      <x:c r="A1" s="2" t="str">
        <x:v>OTTer Shield   게시용 WBS  1/2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  <x:c r="AA1" s="2"/>
      <x:c r="AB1" s="2"/>
      <x:c r="AC1" s="2"/>
      <x:c r="AD1" s="2"/>
      <x:c r="AE1" s="2"/>
      <x:c r="AF1" s="2"/>
      <x:c r="AG1" s="2"/>
      <x:c r="AH1" s="2"/>
    </x:row>
    <x:row r="2" ht="22" customHeight="1">
      <x:c r="A2" s="3" t="str">
        <x:v>2026.10.26 개정 · AS-IS 10/30 · 후속 개발 일정은 PM 조정안</x:v>
      </x:c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  <x:c r="O2" s="3"/>
      <x:c r="P2" s="3"/>
      <x:c r="Q2" s="3"/>
      <x:c r="R2" s="3"/>
      <x:c r="S2" s="3"/>
      <x:c r="T2" s="3"/>
      <x:c r="U2" s="3"/>
      <x:c r="V2" s="3"/>
      <x:c r="W2" s="3"/>
      <x:c r="X2" s="3"/>
      <x:c r="Y2" s="3"/>
      <x:c r="Z2" s="3"/>
      <x:c r="AA2" s="3"/>
      <x:c r="AB2" s="3"/>
      <x:c r="AC2" s="3"/>
      <x:c r="AD2" s="3"/>
      <x:c r="AE2" s="3"/>
      <x:c r="AF2" s="3"/>
      <x:c r="AG2" s="3"/>
      <x:c r="AH2" s="3"/>
    </x:row>
    <x:row r="3" ht="22" customHeight="1">
      <x:c r="A3" s="4" t="str">
        <x:v>기존 73개 ID 유지. 실행·선행·인계 기준은 상세실행 시트. 미확인은 미착수 의미가 아닙니다.</x:v>
      </x:c>
      <x:c r="B3" s="4"/>
      <x:c r="C3" s="4"/>
      <x:c r="D3" s="4"/>
      <x:c r="E3" s="4"/>
      <x:c r="F3" s="4"/>
      <x:c r="G3" s="4"/>
      <x:c r="H3" s="4"/>
      <x:c r="I3" s="4"/>
      <x:c r="J3" s="4"/>
      <x:c r="K3" s="4"/>
      <x:c r="L3" s="4"/>
      <x:c r="M3" s="4"/>
      <x:c r="N3" s="4"/>
      <x:c r="O3" s="4"/>
      <x:c r="P3" s="4"/>
      <x:c r="Q3" s="4"/>
      <x:c r="R3" s="4"/>
      <x:c r="S3" s="4"/>
      <x:c r="T3" s="4"/>
      <x:c r="U3" s="4"/>
      <x:c r="V3" s="4"/>
      <x:c r="W3" s="4"/>
      <x:c r="X3" s="4"/>
      <x:c r="Y3" s="4"/>
      <x:c r="Z3" s="4"/>
      <x:c r="AA3" s="4"/>
      <x:c r="AB3" s="4"/>
      <x:c r="AC3" s="4"/>
      <x:c r="AD3" s="4"/>
      <x:c r="AE3" s="4"/>
      <x:c r="AF3" s="4"/>
      <x:c r="AG3" s="4"/>
      <x:c r="AH3" s="4"/>
    </x:row>
    <x:row r="4" ht="21" customHeight="1">
      <x:c r="A4" s="7" t="str">
        <x:v>담당 업무  |  WBS ID로 원본 상세 확인</x:v>
      </x:c>
      <x:c r="B4" s="7"/>
      <x:c r="C4" s="7"/>
      <x:c r="D4" s="7"/>
      <x:c r="E4" s="7"/>
      <x:c r="F4" s="10" t="str">
        <x:v>10/19–10/25</x:v>
      </x:c>
      <x:c r="G4" s="10"/>
      <x:c r="H4" s="10"/>
      <x:c r="I4" s="10"/>
      <x:c r="J4" s="10"/>
      <x:c r="K4" s="10"/>
      <x:c r="L4" s="10"/>
      <x:c r="M4" s="10" t="str">
        <x:v>10/26–11/01</x:v>
      </x:c>
      <x:c r="N4" s="10"/>
      <x:c r="O4" s="10"/>
      <x:c r="P4" s="10"/>
      <x:c r="Q4" s="10"/>
      <x:c r="R4" s="10"/>
      <x:c r="S4" s="10"/>
      <x:c r="T4" s="10" t="str">
        <x:v>11/02–11/08</x:v>
      </x:c>
      <x:c r="U4" s="10"/>
      <x:c r="V4" s="10"/>
      <x:c r="W4" s="10"/>
      <x:c r="X4" s="10"/>
      <x:c r="Y4" s="10"/>
      <x:c r="Z4" s="10"/>
      <x:c r="AA4" s="10" t="str">
        <x:v>11/09–11/16</x:v>
      </x:c>
      <x:c r="AB4" s="10"/>
      <x:c r="AC4" s="10"/>
      <x:c r="AD4" s="10"/>
      <x:c r="AE4" s="10"/>
      <x:c r="AF4" s="10"/>
      <x:c r="AG4" s="10"/>
      <x:c r="AH4" s="10"/>
    </x:row>
    <x:row r="5" ht="24" customHeight="1">
      <x:c r="A5" s="14" t="str">
        <x:v>ID</x:v>
      </x:c>
      <x:c r="B5" s="15" t="str">
        <x:v>업무</x:v>
      </x:c>
      <x:c r="C5" s="14" t="str">
        <x:v>담당</x:v>
      </x:c>
      <x:c r="D5" s="14" t="str">
        <x:v>현재 목표</x:v>
      </x:c>
      <x:c r="E5" s="14" t="str">
        <x:v>기준 상태</x:v>
      </x:c>
      <x:c r="F5" s="14" t="str">
        <x:v>19</x:v>
      </x:c>
      <x:c r="G5" s="14" t="str">
        <x:v>20</x:v>
      </x:c>
      <x:c r="H5" s="14" t="str">
        <x:v>21</x:v>
      </x:c>
      <x:c r="I5" s="14" t="str">
        <x:v>22</x:v>
      </x:c>
      <x:c r="J5" s="14" t="str">
        <x:v>23</x:v>
      </x:c>
      <x:c r="K5" s="14" t="str">
        <x:v>24</x:v>
      </x:c>
      <x:c r="L5" s="14" t="str">
        <x:v>25</x:v>
      </x:c>
      <x:c r="M5" s="14" t="str">
        <x:v>26</x:v>
      </x:c>
      <x:c r="N5" s="14" t="str">
        <x:v>27</x:v>
      </x:c>
      <x:c r="O5" s="14" t="str">
        <x:v>28</x:v>
      </x:c>
      <x:c r="P5" s="14" t="str">
        <x:v>29</x:v>
      </x:c>
      <x:c r="Q5" s="14" t="str">
        <x:v>30</x:v>
      </x:c>
      <x:c r="R5" s="14" t="str">
        <x:v>31</x:v>
      </x:c>
      <x:c r="S5" s="14" t="str">
        <x:v>1</x:v>
      </x:c>
      <x:c r="T5" s="14" t="str">
        <x:v>2</x:v>
      </x:c>
      <x:c r="U5" s="14" t="str">
        <x:v>3</x:v>
      </x:c>
      <x:c r="V5" s="14" t="str">
        <x:v>4</x:v>
      </x:c>
      <x:c r="W5" s="14" t="str">
        <x:v>5</x:v>
      </x:c>
      <x:c r="X5" s="14" t="str">
        <x:v>6</x:v>
      </x:c>
      <x:c r="Y5" s="14" t="str">
        <x:v>7</x:v>
      </x:c>
      <x:c r="Z5" s="14" t="str">
        <x:v>8</x:v>
      </x:c>
      <x:c r="AA5" s="14" t="str">
        <x:v>9</x:v>
      </x:c>
      <x:c r="AB5" s="14" t="str">
        <x:v>10</x:v>
      </x:c>
      <x:c r="AC5" s="14" t="str">
        <x:v>11</x:v>
      </x:c>
      <x:c r="AD5" s="14" t="str">
        <x:v>12</x:v>
      </x:c>
      <x:c r="AE5" s="14" t="str">
        <x:v>13</x:v>
      </x:c>
      <x:c r="AF5" s="14" t="str">
        <x:v>14</x:v>
      </x:c>
      <x:c r="AG5" s="14" t="str">
        <x:v>15</x:v>
      </x:c>
      <x:c r="AH5" s="14" t="str">
        <x:v>16</x:v>
      </x:c>
    </x:row>
    <x:row r="6" ht="32" customHeight="1">
      <x:c r="A6" s="21" t="str">
        <x:v>I01</x:v>
      </x:c>
      <x:c r="B6" s="43" t="str">
        <x:v>한국 본사 AS-IS 토폴로지 작성</x:v>
      </x:c>
      <x:c r="C6" s="44" t="str">
        <x:v>M1 유용수</x:v>
      </x:c>
      <x:c r="D6" s="50" t="n">
        <x:v>46316</x:v>
      </x:c>
      <x:c r="E6" s="47" t="str">
        <x:v>완료</x:v>
      </x:c>
      <x:c r="F6" s="29"/>
      <x:c r="G6" s="31"/>
      <x:c r="H6" s="31"/>
      <x:c r="I6" s="29"/>
      <x:c r="J6" s="29"/>
      <x:c r="K6" s="33"/>
      <x:c r="L6" s="33"/>
      <x:c r="M6" s="29"/>
      <x:c r="N6" s="29"/>
      <x:c r="O6" s="29"/>
      <x:c r="P6" s="29"/>
      <x:c r="Q6" s="29"/>
      <x:c r="R6" s="33"/>
      <x:c r="S6" s="33"/>
      <x:c r="T6" s="29"/>
      <x:c r="U6" s="29"/>
      <x:c r="V6" s="29"/>
      <x:c r="W6" s="29"/>
      <x:c r="X6" s="29"/>
      <x:c r="Y6" s="33"/>
      <x:c r="Z6" s="33"/>
      <x:c r="AA6" s="29"/>
      <x:c r="AB6" s="29"/>
      <x:c r="AC6" s="29"/>
      <x:c r="AD6" s="29"/>
      <x:c r="AE6" s="29"/>
      <x:c r="AF6" s="33"/>
      <x:c r="AG6" s="33"/>
      <x:c r="AH6" s="29"/>
    </x:row>
    <x:row r="7" ht="32" customHeight="1">
      <x:c r="A7" s="38" t="str">
        <x:v>I02</x:v>
      </x:c>
      <x:c r="B7" s="45" t="str">
        <x:v>독일 AS-IS 토폴로지 작성</x:v>
      </x:c>
      <x:c r="C7" s="46" t="str">
        <x:v>M2 윤서영</x:v>
      </x:c>
      <x:c r="D7" s="51" t="n">
        <x:v>46316</x:v>
      </x:c>
      <x:c r="E7" s="48" t="str">
        <x:v>검토 중</x:v>
      </x:c>
      <x:c r="F7" s="29"/>
      <x:c r="G7" s="31"/>
      <x:c r="H7" s="31"/>
      <x:c r="I7" s="29"/>
      <x:c r="J7" s="29"/>
      <x:c r="K7" s="33"/>
      <x:c r="L7" s="33"/>
      <x:c r="M7" s="29"/>
      <x:c r="N7" s="29"/>
      <x:c r="O7" s="29"/>
      <x:c r="P7" s="29"/>
      <x:c r="Q7" s="29"/>
      <x:c r="R7" s="33"/>
      <x:c r="S7" s="33"/>
      <x:c r="T7" s="29"/>
      <x:c r="U7" s="29"/>
      <x:c r="V7" s="29"/>
      <x:c r="W7" s="29"/>
      <x:c r="X7" s="29"/>
      <x:c r="Y7" s="33"/>
      <x:c r="Z7" s="33"/>
      <x:c r="AA7" s="29"/>
      <x:c r="AB7" s="29"/>
      <x:c r="AC7" s="29"/>
      <x:c r="AD7" s="29"/>
      <x:c r="AE7" s="29"/>
      <x:c r="AF7" s="33"/>
      <x:c r="AG7" s="33"/>
      <x:c r="AH7" s="29"/>
    </x:row>
    <x:row r="8" ht="32" customHeight="1">
      <x:c r="A8" s="21" t="str">
        <x:v>I03</x:v>
      </x:c>
      <x:c r="B8" s="43" t="str">
        <x:v>한국 서비스망 AS-IS 토폴로지 작성</x:v>
      </x:c>
      <x:c r="C8" s="44" t="str">
        <x:v>M3 홍은서</x:v>
      </x:c>
      <x:c r="D8" s="50" t="n">
        <x:v>46316</x:v>
      </x:c>
      <x:c r="E8" s="49" t="str">
        <x:v>완료</x:v>
      </x:c>
      <x:c r="F8" s="29"/>
      <x:c r="G8" s="31"/>
      <x:c r="H8" s="31"/>
      <x:c r="I8" s="29"/>
      <x:c r="J8" s="29"/>
      <x:c r="K8" s="33"/>
      <x:c r="L8" s="33"/>
      <x:c r="M8" s="29"/>
      <x:c r="N8" s="29"/>
      <x:c r="O8" s="29"/>
      <x:c r="P8" s="29"/>
      <x:c r="Q8" s="29"/>
      <x:c r="R8" s="33"/>
      <x:c r="S8" s="33"/>
      <x:c r="T8" s="29"/>
      <x:c r="U8" s="29"/>
      <x:c r="V8" s="29"/>
      <x:c r="W8" s="29"/>
      <x:c r="X8" s="29"/>
      <x:c r="Y8" s="33"/>
      <x:c r="Z8" s="33"/>
      <x:c r="AA8" s="29"/>
      <x:c r="AB8" s="29"/>
      <x:c r="AC8" s="29"/>
      <x:c r="AD8" s="29"/>
      <x:c r="AE8" s="29"/>
      <x:c r="AF8" s="33"/>
      <x:c r="AG8" s="33"/>
      <x:c r="AH8" s="29"/>
    </x:row>
    <x:row r="9" ht="32" customHeight="1">
      <x:c r="A9" s="38" t="str">
        <x:v>I04</x:v>
      </x:c>
      <x:c r="B9" s="45" t="str">
        <x:v>백업·DR망 AS-IS 토폴로지 작성</x:v>
      </x:c>
      <x:c r="C9" s="46" t="str">
        <x:v>M4 박진혁</x:v>
      </x:c>
      <x:c r="D9" s="51" t="n">
        <x:v>46316</x:v>
      </x:c>
      <x:c r="E9" s="47" t="str">
        <x:v>완료</x:v>
      </x:c>
      <x:c r="F9" s="29"/>
      <x:c r="G9" s="31"/>
      <x:c r="H9" s="31"/>
      <x:c r="I9" s="29"/>
      <x:c r="J9" s="29"/>
      <x:c r="K9" s="33"/>
      <x:c r="L9" s="33"/>
      <x:c r="M9" s="29"/>
      <x:c r="N9" s="29"/>
      <x:c r="O9" s="29"/>
      <x:c r="P9" s="29"/>
      <x:c r="Q9" s="29"/>
      <x:c r="R9" s="33"/>
      <x:c r="S9" s="33"/>
      <x:c r="T9" s="29"/>
      <x:c r="U9" s="29"/>
      <x:c r="V9" s="29"/>
      <x:c r="W9" s="29"/>
      <x:c r="X9" s="29"/>
      <x:c r="Y9" s="33"/>
      <x:c r="Z9" s="33"/>
      <x:c r="AA9" s="29"/>
      <x:c r="AB9" s="29"/>
      <x:c r="AC9" s="29"/>
      <x:c r="AD9" s="29"/>
      <x:c r="AE9" s="29"/>
      <x:c r="AF9" s="33"/>
      <x:c r="AG9" s="33"/>
      <x:c r="AH9" s="29"/>
    </x:row>
    <x:row r="10" ht="32" customHeight="1">
      <x:c r="A10" s="21" t="str">
        <x:v>I05</x:v>
      </x:c>
      <x:c r="B10" s="43" t="str">
        <x:v>캐나다 AS-IS 토폴로지 작성</x:v>
      </x:c>
      <x:c r="C10" s="44" t="str">
        <x:v>M5 유은혜</x:v>
      </x:c>
      <x:c r="D10" s="50" t="n">
        <x:v>46316</x:v>
      </x:c>
      <x:c r="E10" s="49" t="str">
        <x:v>완료</x:v>
      </x:c>
      <x:c r="F10" s="29"/>
      <x:c r="G10" s="31"/>
      <x:c r="H10" s="31"/>
      <x:c r="I10" s="29"/>
      <x:c r="J10" s="29"/>
      <x:c r="K10" s="33"/>
      <x:c r="L10" s="33"/>
      <x:c r="M10" s="29"/>
      <x:c r="N10" s="29"/>
      <x:c r="O10" s="29"/>
      <x:c r="P10" s="29"/>
      <x:c r="Q10" s="29"/>
      <x:c r="R10" s="33"/>
      <x:c r="S10" s="33"/>
      <x:c r="T10" s="29"/>
      <x:c r="U10" s="29"/>
      <x:c r="V10" s="29"/>
      <x:c r="W10" s="29"/>
      <x:c r="X10" s="29"/>
      <x:c r="Y10" s="33"/>
      <x:c r="Z10" s="33"/>
      <x:c r="AA10" s="29"/>
      <x:c r="AB10" s="29"/>
      <x:c r="AC10" s="29"/>
      <x:c r="AD10" s="29"/>
      <x:c r="AE10" s="29"/>
      <x:c r="AF10" s="33"/>
      <x:c r="AG10" s="33"/>
      <x:c r="AH10" s="29"/>
    </x:row>
    <x:row r="11" ht="32" customHeight="1">
      <x:c r="A11" s="38" t="str">
        <x:v>C6.1</x:v>
      </x:c>
      <x:c r="B11" s="45" t="str">
        <x:v>현행 설계·진척 대조·변경 범위 확인</x:v>
      </x:c>
      <x:c r="C11" s="46" t="str">
        <x:v>M5 유은혜</x:v>
      </x:c>
      <x:c r="D11" s="51" t="n">
        <x:v>46322</x:v>
      </x:c>
      <x:c r="E11" s="48" t="str">
        <x:v>재검토</x:v>
      </x:c>
      <x:c r="F11" s="52"/>
      <x:c r="G11" s="52"/>
      <x:c r="H11" s="53"/>
      <x:c r="I11" s="53"/>
      <x:c r="J11" s="53"/>
      <x:c r="K11" s="52"/>
      <x:c r="L11" s="52"/>
      <x:c r="M11" s="54"/>
      <x:c r="N11" s="54"/>
      <x:c r="O11" s="52"/>
      <x:c r="P11" s="52"/>
      <x:c r="Q11" s="52"/>
      <x:c r="R11" s="52"/>
      <x:c r="S11" s="52"/>
      <x:c r="T11" s="52"/>
      <x:c r="U11" s="52"/>
      <x:c r="V11" s="52"/>
      <x:c r="W11" s="52"/>
      <x:c r="X11" s="52"/>
      <x:c r="Y11" s="52"/>
      <x:c r="Z11" s="52"/>
      <x:c r="AA11" s="52"/>
      <x:c r="AB11" s="52"/>
      <x:c r="AC11" s="52"/>
      <x:c r="AD11" s="52"/>
      <x:c r="AE11" s="52"/>
      <x:c r="AF11" s="52"/>
      <x:c r="AG11" s="52"/>
      <x:c r="AH11" s="52"/>
    </x:row>
    <x:row r="12" ht="32" customHeight="1">
      <x:c r="A12" s="21" t="str">
        <x:v>C10.1</x:v>
      </x:c>
      <x:c r="B12" s="43" t="str">
        <x:v>DB 버전·복제·백업·복원 인계 합의</x:v>
      </x:c>
      <x:c r="C12" s="44" t="str">
        <x:v>M4 박진혁</x:v>
      </x:c>
      <x:c r="D12" s="50" t="n">
        <x:v>46323</x:v>
      </x:c>
      <x:c r="E12" s="49" t="str">
        <x:v>미확인</x:v>
      </x:c>
      <x:c r="F12" s="52"/>
      <x:c r="G12" s="52"/>
      <x:c r="H12" s="52"/>
      <x:c r="I12" s="52"/>
      <x:c r="J12" s="53"/>
      <x:c r="K12" s="52"/>
      <x:c r="L12" s="52"/>
      <x:c r="M12" s="52"/>
      <x:c r="N12" s="54"/>
      <x:c r="O12" s="54"/>
      <x:c r="P12" s="52"/>
      <x:c r="Q12" s="52"/>
      <x:c r="R12" s="52"/>
      <x:c r="S12" s="52"/>
      <x:c r="T12" s="52"/>
      <x:c r="U12" s="52"/>
      <x:c r="V12" s="52"/>
      <x:c r="W12" s="52"/>
      <x:c r="X12" s="52"/>
      <x:c r="Y12" s="52"/>
      <x:c r="Z12" s="52"/>
      <x:c r="AA12" s="52"/>
      <x:c r="AB12" s="52"/>
      <x:c r="AC12" s="52"/>
      <x:c r="AD12" s="52"/>
      <x:c r="AE12" s="52"/>
      <x:c r="AF12" s="52"/>
      <x:c r="AG12" s="52"/>
      <x:c r="AH12" s="52"/>
    </x:row>
    <x:row r="13" ht="32" customHeight="1">
      <x:c r="A13" s="38" t="str">
        <x:v>C12.1</x:v>
      </x:c>
      <x:c r="B13" s="45" t="str">
        <x:v>AWS 리전·EKS 권한·예산 확인</x:v>
      </x:c>
      <x:c r="C13" s="46" t="str">
        <x:v>M5 유은혜</x:v>
      </x:c>
      <x:c r="D13" s="51" t="n">
        <x:v>46323</x:v>
      </x:c>
      <x:c r="E13" s="48" t="str">
        <x:v>미확인</x:v>
      </x:c>
      <x:c r="F13" s="52"/>
      <x:c r="G13" s="52"/>
      <x:c r="H13" s="53"/>
      <x:c r="I13" s="53"/>
      <x:c r="J13" s="53"/>
      <x:c r="K13" s="52"/>
      <x:c r="L13" s="52"/>
      <x:c r="M13" s="52"/>
      <x:c r="N13" s="54"/>
      <x:c r="O13" s="54"/>
      <x:c r="P13" s="52"/>
      <x:c r="Q13" s="52"/>
      <x:c r="R13" s="52"/>
      <x:c r="S13" s="52"/>
      <x:c r="T13" s="52"/>
      <x:c r="U13" s="52"/>
      <x:c r="V13" s="52"/>
      <x:c r="W13" s="52"/>
      <x:c r="X13" s="52"/>
      <x:c r="Y13" s="52"/>
      <x:c r="Z13" s="52"/>
      <x:c r="AA13" s="52"/>
      <x:c r="AB13" s="52"/>
      <x:c r="AC13" s="52"/>
      <x:c r="AD13" s="52"/>
      <x:c r="AE13" s="52"/>
      <x:c r="AF13" s="52"/>
      <x:c r="AG13" s="52"/>
      <x:c r="AH13" s="52"/>
    </x:row>
    <x:row r="14" ht="32" customHeight="1">
      <x:c r="A14" s="21" t="str">
        <x:v>D1</x:v>
      </x:c>
      <x:c r="B14" s="43" t="str">
        <x:v>기존 실행 규격·변경점 재확인</x:v>
      </x:c>
      <x:c r="C14" s="44" t="str">
        <x:v>M5 유은혜</x:v>
      </x:c>
      <x:c r="D14" s="50" t="n">
        <x:v>46322</x:v>
      </x:c>
      <x:c r="E14" s="49" t="str">
        <x:v>기존 체크 보존</x:v>
      </x:c>
      <x:c r="F14" s="52"/>
      <x:c r="G14" s="52"/>
      <x:c r="H14" s="53"/>
      <x:c r="I14" s="53"/>
      <x:c r="J14" s="53"/>
      <x:c r="K14" s="52"/>
      <x:c r="L14" s="52"/>
      <x:c r="M14" s="52"/>
      <x:c r="N14" s="55"/>
      <x:c r="O14" s="52"/>
      <x:c r="P14" s="52"/>
      <x:c r="Q14" s="52"/>
      <x:c r="R14" s="52"/>
      <x:c r="S14" s="52"/>
      <x:c r="T14" s="52"/>
      <x:c r="U14" s="52"/>
      <x:c r="V14" s="52"/>
      <x:c r="W14" s="52"/>
      <x:c r="X14" s="52"/>
      <x:c r="Y14" s="52"/>
      <x:c r="Z14" s="52"/>
      <x:c r="AA14" s="52"/>
      <x:c r="AB14" s="52"/>
      <x:c r="AC14" s="52"/>
      <x:c r="AD14" s="52"/>
      <x:c r="AE14" s="52"/>
      <x:c r="AF14" s="52"/>
      <x:c r="AG14" s="52"/>
      <x:c r="AH14" s="52"/>
    </x:row>
    <x:row r="15" ht="32" customHeight="1">
      <x:c r="A15" s="38" t="str">
        <x:v>D2</x:v>
      </x:c>
      <x:c r="B15" s="45" t="str">
        <x:v>공통 게시판 최소 기능·실행본 인계</x:v>
      </x:c>
      <x:c r="C15" s="46" t="str">
        <x:v>M5 유은혜</x:v>
      </x:c>
      <x:c r="D15" s="51" t="n">
        <x:v>46323</x:v>
      </x:c>
      <x:c r="E15" s="48" t="str">
        <x:v>미확인</x:v>
      </x:c>
      <x:c r="F15" s="52"/>
      <x:c r="G15" s="52"/>
      <x:c r="H15" s="52"/>
      <x:c r="I15" s="53"/>
      <x:c r="J15" s="53"/>
      <x:c r="K15" s="52"/>
      <x:c r="L15" s="52"/>
      <x:c r="M15" s="52"/>
      <x:c r="N15" s="55"/>
      <x:c r="O15" s="55"/>
      <x:c r="P15" s="52"/>
      <x:c r="Q15" s="52"/>
      <x:c r="R15" s="52"/>
      <x:c r="S15" s="52"/>
      <x:c r="T15" s="52"/>
      <x:c r="U15" s="52"/>
      <x:c r="V15" s="52"/>
      <x:c r="W15" s="52"/>
      <x:c r="X15" s="52"/>
      <x:c r="Y15" s="52"/>
      <x:c r="Z15" s="52"/>
      <x:c r="AA15" s="52"/>
      <x:c r="AB15" s="52"/>
      <x:c r="AC15" s="52"/>
      <x:c r="AD15" s="52"/>
      <x:c r="AE15" s="52"/>
      <x:c r="AF15" s="52"/>
      <x:c r="AG15" s="52"/>
      <x:c r="AH15" s="52"/>
    </x:row>
    <x:row r="16" ht="32" customHeight="1">
      <x:c r="A16" s="21" t="str">
        <x:v>I14</x:v>
      </x:c>
      <x:c r="B16" s="43" t="str">
        <x:v>한국 본사 장비·기본 서비스 구성</x:v>
      </x:c>
      <x:c r="C16" s="44" t="str">
        <x:v>M1 유용수</x:v>
      </x:c>
      <x:c r="D16" s="50" t="n">
        <x:v>46325</x:v>
      </x:c>
      <x:c r="E16" s="49" t="str">
        <x:v>일부 보고</x:v>
      </x:c>
      <x:c r="F16" s="52"/>
      <x:c r="G16" s="52"/>
      <x:c r="H16" s="53"/>
      <x:c r="I16" s="53"/>
      <x:c r="J16" s="53"/>
      <x:c r="K16" s="53"/>
      <x:c r="L16" s="53"/>
      <x:c r="M16" s="53"/>
      <x:c r="N16" s="56"/>
      <x:c r="O16" s="56"/>
      <x:c r="P16" s="57"/>
      <x:c r="Q16" s="57"/>
      <x:c r="R16" s="52"/>
      <x:c r="S16" s="52"/>
      <x:c r="T16" s="52"/>
      <x:c r="U16" s="52"/>
      <x:c r="V16" s="52"/>
      <x:c r="W16" s="52"/>
      <x:c r="X16" s="52"/>
      <x:c r="Y16" s="52"/>
      <x:c r="Z16" s="52"/>
      <x:c r="AA16" s="52"/>
      <x:c r="AB16" s="52"/>
      <x:c r="AC16" s="52"/>
      <x:c r="AD16" s="52"/>
      <x:c r="AE16" s="52"/>
      <x:c r="AF16" s="52"/>
      <x:c r="AG16" s="52"/>
      <x:c r="AH16" s="52"/>
    </x:row>
    <x:row r="17" ht="32" customHeight="1">
      <x:c r="A17" s="38" t="str">
        <x:v>I19</x:v>
      </x:c>
      <x:c r="B17" s="45" t="str">
        <x:v>독일 장비·기본 서비스 구성</x:v>
      </x:c>
      <x:c r="C17" s="46" t="str">
        <x:v>M2 윤서영</x:v>
      </x:c>
      <x:c r="D17" s="51" t="n">
        <x:v>46325</x:v>
      </x:c>
      <x:c r="E17" s="48" t="str">
        <x:v>일부 보고</x:v>
      </x:c>
      <x:c r="F17" s="52"/>
      <x:c r="G17" s="52"/>
      <x:c r="H17" s="53"/>
      <x:c r="I17" s="53"/>
      <x:c r="J17" s="53"/>
      <x:c r="K17" s="53"/>
      <x:c r="L17" s="53"/>
      <x:c r="M17" s="53"/>
      <x:c r="N17" s="58"/>
      <x:c r="O17" s="58"/>
      <x:c r="P17" s="59"/>
      <x:c r="Q17" s="59"/>
      <x:c r="R17" s="52"/>
      <x:c r="S17" s="52"/>
      <x:c r="T17" s="52"/>
      <x:c r="U17" s="52"/>
      <x:c r="V17" s="52"/>
      <x:c r="W17" s="52"/>
      <x:c r="X17" s="52"/>
      <x:c r="Y17" s="52"/>
      <x:c r="Z17" s="52"/>
      <x:c r="AA17" s="52"/>
      <x:c r="AB17" s="52"/>
      <x:c r="AC17" s="52"/>
      <x:c r="AD17" s="52"/>
      <x:c r="AE17" s="52"/>
      <x:c r="AF17" s="52"/>
      <x:c r="AG17" s="52"/>
      <x:c r="AH17" s="52"/>
    </x:row>
    <x:row r="18" ht="32" customHeight="1">
      <x:c r="A18" s="21" t="str">
        <x:v>I24</x:v>
      </x:c>
      <x:c r="B18" s="43" t="str">
        <x:v>ESXi 내부 K8s·DB·OTT 경로 구성</x:v>
      </x:c>
      <x:c r="C18" s="44" t="str">
        <x:v>M3 홍은서</x:v>
      </x:c>
      <x:c r="D18" s="50" t="n">
        <x:v>46325</x:v>
      </x:c>
      <x:c r="E18" s="49" t="str">
        <x:v>일부 보고</x:v>
      </x:c>
      <x:c r="F18" s="52"/>
      <x:c r="G18" s="52"/>
      <x:c r="H18" s="53"/>
      <x:c r="I18" s="53"/>
      <x:c r="J18" s="53"/>
      <x:c r="K18" s="53"/>
      <x:c r="L18" s="53"/>
      <x:c r="M18" s="53"/>
      <x:c r="N18" s="60"/>
      <x:c r="O18" s="60"/>
      <x:c r="P18" s="61"/>
      <x:c r="Q18" s="61"/>
      <x:c r="R18" s="52"/>
      <x:c r="S18" s="52"/>
      <x:c r="T18" s="52"/>
      <x:c r="U18" s="52"/>
      <x:c r="V18" s="52"/>
      <x:c r="W18" s="52"/>
      <x:c r="X18" s="52"/>
      <x:c r="Y18" s="52"/>
      <x:c r="Z18" s="52"/>
      <x:c r="AA18" s="52"/>
      <x:c r="AB18" s="52"/>
      <x:c r="AC18" s="52"/>
      <x:c r="AD18" s="52"/>
      <x:c r="AE18" s="52"/>
      <x:c r="AF18" s="52"/>
      <x:c r="AG18" s="52"/>
      <x:c r="AH18" s="52"/>
    </x:row>
    <x:row r="19" ht="32" customHeight="1">
      <x:c r="A19" s="38" t="str">
        <x:v>I29</x:v>
      </x:c>
      <x:c r="B19" s="45" t="str">
        <x:v>4구간·복제·백업·별도 복원 구성</x:v>
      </x:c>
      <x:c r="C19" s="46" t="str">
        <x:v>M4 박진혁</x:v>
      </x:c>
      <x:c r="D19" s="51" t="n">
        <x:v>46325</x:v>
      </x:c>
      <x:c r="E19" s="48" t="str">
        <x:v>변경분 재검증</x:v>
      </x:c>
      <x:c r="F19" s="52"/>
      <x:c r="G19" s="52"/>
      <x:c r="H19" s="53"/>
      <x:c r="I19" s="53"/>
      <x:c r="J19" s="53"/>
      <x:c r="K19" s="53"/>
      <x:c r="L19" s="53"/>
      <x:c r="M19" s="53"/>
      <x:c r="N19" s="62"/>
      <x:c r="O19" s="62"/>
      <x:c r="P19" s="63"/>
      <x:c r="Q19" s="63"/>
      <x:c r="R19" s="52"/>
      <x:c r="S19" s="52"/>
      <x:c r="T19" s="52"/>
      <x:c r="U19" s="52"/>
      <x:c r="V19" s="52"/>
      <x:c r="W19" s="52"/>
      <x:c r="X19" s="52"/>
      <x:c r="Y19" s="52"/>
      <x:c r="Z19" s="52"/>
      <x:c r="AA19" s="52"/>
      <x:c r="AB19" s="52"/>
      <x:c r="AC19" s="52"/>
      <x:c r="AD19" s="52"/>
      <x:c r="AE19" s="52"/>
      <x:c r="AF19" s="52"/>
      <x:c r="AG19" s="52"/>
      <x:c r="AH19" s="52"/>
    </x:row>
    <x:row r="20" ht="32" customHeight="1">
      <x:c r="A20" s="21" t="str">
        <x:v>I34</x:v>
      </x:c>
      <x:c r="B20" s="43" t="str">
        <x:v>기존 사무실 보존·VPN·시험 경로 검증</x:v>
      </x:c>
      <x:c r="C20" s="44" t="str">
        <x:v>M5 유은혜</x:v>
      </x:c>
      <x:c r="D20" s="50" t="n">
        <x:v>46325</x:v>
      </x:c>
      <x:c r="E20" s="49" t="str">
        <x:v>기본망 보고</x:v>
      </x:c>
      <x:c r="F20" s="52"/>
      <x:c r="G20" s="52"/>
      <x:c r="H20" s="53"/>
      <x:c r="I20" s="53"/>
      <x:c r="J20" s="53"/>
      <x:c r="K20" s="53"/>
      <x:c r="L20" s="53"/>
      <x:c r="M20" s="53"/>
      <x:c r="N20" s="64"/>
      <x:c r="O20" s="64"/>
      <x:c r="P20" s="55"/>
      <x:c r="Q20" s="55"/>
      <x:c r="R20" s="52"/>
      <x:c r="S20" s="52"/>
      <x:c r="T20" s="52"/>
      <x:c r="U20" s="52"/>
      <x:c r="V20" s="52"/>
      <x:c r="W20" s="52"/>
      <x:c r="X20" s="52"/>
      <x:c r="Y20" s="52"/>
      <x:c r="Z20" s="52"/>
      <x:c r="AA20" s="52"/>
      <x:c r="AB20" s="52"/>
      <x:c r="AC20" s="52"/>
      <x:c r="AD20" s="52"/>
      <x:c r="AE20" s="52"/>
      <x:c r="AF20" s="52"/>
      <x:c r="AG20" s="52"/>
      <x:c r="AH20" s="52"/>
    </x:row>
    <x:row r="21" ht="32" customHeight="1">
      <x:c r="A21" s="38" t="str">
        <x:v>C7</x:v>
      </x:c>
      <x:c r="B21" s="45" t="str">
        <x:v>망 간 라우팅·VPN 구성 및 검증</x:v>
      </x:c>
      <x:c r="C21" s="46" t="str">
        <x:v>M1 유용수</x:v>
      </x:c>
      <x:c r="D21" s="51" t="n">
        <x:v>46325</x:v>
      </x:c>
      <x:c r="E21" s="48" t="str">
        <x:v>미확인</x:v>
      </x:c>
      <x:c r="F21" s="52"/>
      <x:c r="G21" s="52"/>
      <x:c r="H21" s="52"/>
      <x:c r="I21" s="53"/>
      <x:c r="J21" s="53"/>
      <x:c r="K21" s="53"/>
      <x:c r="L21" s="53"/>
      <x:c r="M21" s="53"/>
      <x:c r="N21" s="65"/>
      <x:c r="O21" s="65"/>
      <x:c r="P21" s="54"/>
      <x:c r="Q21" s="54"/>
      <x:c r="R21" s="52"/>
      <x:c r="S21" s="52"/>
      <x:c r="T21" s="52"/>
      <x:c r="U21" s="52"/>
      <x:c r="V21" s="52"/>
      <x:c r="W21" s="52"/>
      <x:c r="X21" s="52"/>
      <x:c r="Y21" s="52"/>
      <x:c r="Z21" s="52"/>
      <x:c r="AA21" s="52"/>
      <x:c r="AB21" s="52"/>
      <x:c r="AC21" s="52"/>
      <x:c r="AD21" s="52"/>
      <x:c r="AE21" s="52"/>
      <x:c r="AF21" s="52"/>
      <x:c r="AG21" s="52"/>
      <x:c r="AH21" s="52"/>
    </x:row>
    <x:row r="22" ht="32" customHeight="1">
      <x:c r="A22" s="21" t="str">
        <x:v>D3</x:v>
      </x:c>
      <x:c r="B22" s="43" t="str">
        <x:v>OTT 로그인·목록·샘플 재생 최소 인계</x:v>
      </x:c>
      <x:c r="C22" s="44" t="str">
        <x:v>M5 유은혜</x:v>
      </x:c>
      <x:c r="D22" s="50" t="n">
        <x:v>46325</x:v>
      </x:c>
      <x:c r="E22" s="49" t="str">
        <x:v>조정안</x:v>
      </x:c>
      <x:c r="F22" s="52"/>
      <x:c r="G22" s="52"/>
      <x:c r="H22" s="52"/>
      <x:c r="I22" s="52"/>
      <x:c r="J22" s="52"/>
      <x:c r="K22" s="53"/>
      <x:c r="L22" s="53"/>
      <x:c r="M22" s="53"/>
      <x:c r="N22" s="53"/>
      <x:c r="O22" s="53"/>
      <x:c r="P22" s="55"/>
      <x:c r="Q22" s="55"/>
      <x:c r="R22" s="52"/>
      <x:c r="S22" s="52"/>
      <x:c r="T22" s="52"/>
      <x:c r="U22" s="52"/>
      <x:c r="V22" s="52"/>
      <x:c r="W22" s="52"/>
      <x:c r="X22" s="52"/>
      <x:c r="Y22" s="52"/>
      <x:c r="Z22" s="52"/>
      <x:c r="AA22" s="52"/>
      <x:c r="AB22" s="52"/>
      <x:c r="AC22" s="52"/>
      <x:c r="AD22" s="52"/>
      <x:c r="AE22" s="52"/>
      <x:c r="AF22" s="52"/>
      <x:c r="AG22" s="52"/>
      <x:c r="AH22" s="52"/>
    </x:row>
    <x:row r="23" ht="32" customHeight="1">
      <x:c r="A23" s="38" t="str">
        <x:v>C10.2</x:v>
      </x:c>
      <x:c r="B23" s="45" t="str">
        <x:v>Replica·덤프·로컬 격리 복원</x:v>
      </x:c>
      <x:c r="C23" s="46" t="str">
        <x:v>M4 박진혁</x:v>
      </x:c>
      <x:c r="D23" s="51" t="n">
        <x:v>46325</x:v>
      </x:c>
      <x:c r="E23" s="48" t="str">
        <x:v>조정안</x:v>
      </x:c>
      <x:c r="F23" s="52"/>
      <x:c r="G23" s="52"/>
      <x:c r="H23" s="52"/>
      <x:c r="I23" s="52"/>
      <x:c r="J23" s="52"/>
      <x:c r="K23" s="52"/>
      <x:c r="L23" s="52"/>
      <x:c r="M23" s="53"/>
      <x:c r="N23" s="53"/>
      <x:c r="O23" s="65"/>
      <x:c r="P23" s="65"/>
      <x:c r="Q23" s="65"/>
      <x:c r="R23" s="52"/>
      <x:c r="S23" s="52"/>
      <x:c r="T23" s="52"/>
      <x:c r="U23" s="52"/>
      <x:c r="V23" s="52"/>
      <x:c r="W23" s="52"/>
      <x:c r="X23" s="52"/>
      <x:c r="Y23" s="52"/>
      <x:c r="Z23" s="52"/>
      <x:c r="AA23" s="52"/>
      <x:c r="AB23" s="52"/>
      <x:c r="AC23" s="52"/>
      <x:c r="AD23" s="52"/>
      <x:c r="AE23" s="52"/>
      <x:c r="AF23" s="52"/>
      <x:c r="AG23" s="52"/>
      <x:c r="AH23" s="52"/>
    </x:row>
    <x:row r="24" ht="32" customHeight="1">
      <x:c r="A24" s="21" t="str">
        <x:v>C12.2</x:v>
      </x:c>
      <x:c r="B24" s="43" t="str">
        <x:v>AWS Store 최소 기반·재생성 명세</x:v>
      </x:c>
      <x:c r="C24" s="44" t="str">
        <x:v>M5 유은혜</x:v>
      </x:c>
      <x:c r="D24" s="50" t="n">
        <x:v>46327</x:v>
      </x:c>
      <x:c r="E24" s="49" t="str">
        <x:v>권한 조건부</x:v>
      </x:c>
      <x:c r="F24" s="52"/>
      <x:c r="G24" s="52"/>
      <x:c r="H24" s="52"/>
      <x:c r="I24" s="52"/>
      <x:c r="J24" s="52"/>
      <x:c r="K24" s="52"/>
      <x:c r="L24" s="52"/>
      <x:c r="M24" s="53"/>
      <x:c r="N24" s="53"/>
      <x:c r="O24" s="53"/>
      <x:c r="P24" s="53"/>
      <x:c r="Q24" s="53"/>
      <x:c r="R24" s="54"/>
      <x:c r="S24" s="54"/>
      <x:c r="T24" s="52"/>
      <x:c r="U24" s="52"/>
      <x:c r="V24" s="52"/>
      <x:c r="W24" s="52"/>
      <x:c r="X24" s="52"/>
      <x:c r="Y24" s="52"/>
      <x:c r="Z24" s="52"/>
      <x:c r="AA24" s="52"/>
      <x:c r="AB24" s="52"/>
      <x:c r="AC24" s="52"/>
      <x:c r="AD24" s="52"/>
      <x:c r="AE24" s="52"/>
      <x:c r="AF24" s="52"/>
      <x:c r="AG24" s="52"/>
      <x:c r="AH24" s="52"/>
    </x:row>
    <x:row r="25" ht="32" customHeight="1">
      <x:c r="A25" s="38" t="str">
        <x:v>C6.2</x:v>
      </x:c>
      <x:c r="B25" s="45" t="str">
        <x:v>개발·AWS·후속 일정 범위 판정</x:v>
      </x:c>
      <x:c r="C25" s="46" t="str">
        <x:v>M5 유은혜</x:v>
      </x:c>
      <x:c r="D25" s="51" t="n">
        <x:v>46325</x:v>
      </x:c>
      <x:c r="E25" s="48" t="str">
        <x:v>조정안</x:v>
      </x:c>
      <x:c r="F25" s="52"/>
      <x:c r="G25" s="52"/>
      <x:c r="H25" s="52"/>
      <x:c r="I25" s="52"/>
      <x:c r="J25" s="52"/>
      <x:c r="K25" s="52"/>
      <x:c r="L25" s="52"/>
      <x:c r="M25" s="52"/>
      <x:c r="N25" s="52"/>
      <x:c r="O25" s="53"/>
      <x:c r="P25" s="53"/>
      <x:c r="Q25" s="65"/>
      <x:c r="R25" s="52"/>
      <x:c r="S25" s="52"/>
      <x:c r="T25" s="52"/>
      <x:c r="U25" s="52"/>
      <x:c r="V25" s="52"/>
      <x:c r="W25" s="52"/>
      <x:c r="X25" s="52"/>
      <x:c r="Y25" s="52"/>
      <x:c r="Z25" s="52"/>
      <x:c r="AA25" s="52"/>
      <x:c r="AB25" s="52"/>
      <x:c r="AC25" s="52"/>
      <x:c r="AD25" s="52"/>
      <x:c r="AE25" s="52"/>
      <x:c r="AF25" s="52"/>
      <x:c r="AG25" s="52"/>
      <x:c r="AH25" s="52"/>
    </x:row>
    <x:row r="26" ht="32" customHeight="1">
      <x:c r="A26" s="21" t="str">
        <x:v>D4.1</x:v>
      </x:c>
      <x:c r="B26" s="43" t="str">
        <x:v>한국 게시판 서버 배포</x:v>
      </x:c>
      <x:c r="C26" s="44" t="str">
        <x:v>M1 유용수</x:v>
      </x:c>
      <x:c r="D26" s="50" t="n">
        <x:v>46325</x:v>
      </x:c>
      <x:c r="E26" s="49" t="str">
        <x:v>미확인</x:v>
      </x:c>
      <x:c r="F26" s="52"/>
      <x:c r="G26" s="52"/>
      <x:c r="H26" s="52"/>
      <x:c r="I26" s="52"/>
      <x:c r="J26" s="52"/>
      <x:c r="K26" s="52"/>
      <x:c r="L26" s="52"/>
      <x:c r="M26" s="52"/>
      <x:c r="N26" s="52"/>
      <x:c r="O26" s="52"/>
      <x:c r="P26" s="64"/>
      <x:c r="Q26" s="64"/>
      <x:c r="R26" s="52"/>
      <x:c r="S26" s="52"/>
      <x:c r="T26" s="52"/>
      <x:c r="U26" s="52"/>
      <x:c r="V26" s="52"/>
      <x:c r="W26" s="52"/>
      <x:c r="X26" s="52"/>
      <x:c r="Y26" s="52"/>
      <x:c r="Z26" s="52"/>
      <x:c r="AA26" s="52"/>
      <x:c r="AB26" s="52"/>
      <x:c r="AC26" s="52"/>
      <x:c r="AD26" s="52"/>
      <x:c r="AE26" s="52"/>
      <x:c r="AF26" s="52"/>
      <x:c r="AG26" s="52"/>
      <x:c r="AH26" s="52"/>
    </x:row>
    <x:row r="27" ht="32" customHeight="1">
      <x:c r="A27" s="38" t="str">
        <x:v>D4.2</x:v>
      </x:c>
      <x:c r="B27" s="45" t="str">
        <x:v>독일 게시판 서버 배포</x:v>
      </x:c>
      <x:c r="C27" s="46" t="str">
        <x:v>M2 윤서영</x:v>
      </x:c>
      <x:c r="D27" s="51" t="n">
        <x:v>46325</x:v>
      </x:c>
      <x:c r="E27" s="48" t="str">
        <x:v>미확인</x:v>
      </x:c>
      <x:c r="F27" s="52"/>
      <x:c r="G27" s="52"/>
      <x:c r="H27" s="52"/>
      <x:c r="I27" s="52"/>
      <x:c r="J27" s="52"/>
      <x:c r="K27" s="52"/>
      <x:c r="L27" s="52"/>
      <x:c r="M27" s="52"/>
      <x:c r="N27" s="52"/>
      <x:c r="O27" s="52"/>
      <x:c r="P27" s="64"/>
      <x:c r="Q27" s="64"/>
      <x:c r="R27" s="52"/>
      <x:c r="S27" s="52"/>
      <x:c r="T27" s="52"/>
      <x:c r="U27" s="52"/>
      <x:c r="V27" s="52"/>
      <x:c r="W27" s="52"/>
      <x:c r="X27" s="52"/>
      <x:c r="Y27" s="52"/>
      <x:c r="Z27" s="52"/>
      <x:c r="AA27" s="52"/>
      <x:c r="AB27" s="52"/>
      <x:c r="AC27" s="52"/>
      <x:c r="AD27" s="52"/>
      <x:c r="AE27" s="52"/>
      <x:c r="AF27" s="52"/>
      <x:c r="AG27" s="52"/>
      <x:c r="AH27" s="52"/>
    </x:row>
    <x:row r="28" ht="32" customHeight="1">
      <x:c r="A28" s="21" t="str">
        <x:v>D4.3</x:v>
      </x:c>
      <x:c r="B28" s="43" t="str">
        <x:v>한국 OTT 서버 배포</x:v>
      </x:c>
      <x:c r="C28" s="44" t="str">
        <x:v>M3 홍은서</x:v>
      </x:c>
      <x:c r="D28" s="50" t="n">
        <x:v>46325</x:v>
      </x:c>
      <x:c r="E28" s="49" t="str">
        <x:v>미확인</x:v>
      </x:c>
      <x:c r="F28" s="52"/>
      <x:c r="G28" s="52"/>
      <x:c r="H28" s="52"/>
      <x:c r="I28" s="52"/>
      <x:c r="J28" s="52"/>
      <x:c r="K28" s="52"/>
      <x:c r="L28" s="52"/>
      <x:c r="M28" s="52"/>
      <x:c r="N28" s="52"/>
      <x:c r="O28" s="52"/>
      <x:c r="P28" s="53"/>
      <x:c r="Q28" s="64"/>
      <x:c r="R28" s="52"/>
      <x:c r="S28" s="52"/>
      <x:c r="T28" s="52"/>
      <x:c r="U28" s="52"/>
      <x:c r="V28" s="52"/>
      <x:c r="W28" s="52"/>
      <x:c r="X28" s="52"/>
      <x:c r="Y28" s="52"/>
      <x:c r="Z28" s="52"/>
      <x:c r="AA28" s="52"/>
      <x:c r="AB28" s="52"/>
      <x:c r="AC28" s="52"/>
      <x:c r="AD28" s="52"/>
      <x:c r="AE28" s="52"/>
      <x:c r="AF28" s="52"/>
      <x:c r="AG28" s="52"/>
      <x:c r="AH28" s="52"/>
    </x:row>
    <x:row r="29" ht="32" customHeight="1">
      <x:c r="A29" s="38" t="str">
        <x:v>D5.1</x:v>
      </x:c>
      <x:c r="B29" s="45" t="str">
        <x:v>Store 상품·모의 주문 로컬 최소 기능</x:v>
      </x:c>
      <x:c r="C29" s="46" t="str">
        <x:v>M5 유은혜</x:v>
      </x:c>
      <x:c r="D29" s="51" t="n">
        <x:v>46327</x:v>
      </x:c>
      <x:c r="E29" s="48" t="str">
        <x:v>조정안</x:v>
      </x:c>
      <x:c r="F29" s="52"/>
      <x:c r="G29" s="52"/>
      <x:c r="H29" s="52"/>
      <x:c r="I29" s="52"/>
      <x:c r="J29" s="52"/>
      <x:c r="K29" s="52"/>
      <x:c r="L29" s="52"/>
      <x:c r="M29" s="52"/>
      <x:c r="N29" s="52"/>
      <x:c r="O29" s="52"/>
      <x:c r="P29" s="53"/>
      <x:c r="Q29" s="53"/>
      <x:c r="R29" s="55"/>
      <x:c r="S29" s="55"/>
      <x:c r="T29" s="52"/>
      <x:c r="U29" s="52"/>
      <x:c r="V29" s="52"/>
      <x:c r="W29" s="52"/>
      <x:c r="X29" s="52"/>
      <x:c r="Y29" s="52"/>
      <x:c r="Z29" s="52"/>
      <x:c r="AA29" s="52"/>
      <x:c r="AB29" s="52"/>
      <x:c r="AC29" s="52"/>
      <x:c r="AD29" s="52"/>
      <x:c r="AE29" s="52"/>
      <x:c r="AF29" s="52"/>
      <x:c r="AG29" s="52"/>
      <x:c r="AH29" s="52"/>
    </x:row>
    <x:row r="30" ht="32" customHeight="1">
      <x:c r="A30" s="21" t="str">
        <x:v>D6.1</x:v>
      </x:c>
      <x:c r="B30" s="43" t="str">
        <x:v>CI/CD 착수 시 도구 비교·선정</x:v>
      </x:c>
      <x:c r="C30" s="44" t="str">
        <x:v>M5 유은혜</x:v>
      </x:c>
      <x:c r="D30" s="50" t="n">
        <x:v>46330</x:v>
      </x:c>
      <x:c r="E30" s="49" t="str">
        <x:v>선정 보류</x:v>
      </x:c>
      <x:c r="F30" s="52"/>
      <x:c r="G30" s="52"/>
      <x:c r="H30" s="52"/>
      <x:c r="I30" s="52"/>
      <x:c r="J30" s="52"/>
      <x:c r="K30" s="52"/>
      <x:c r="L30" s="52"/>
      <x:c r="M30" s="52"/>
      <x:c r="N30" s="52"/>
      <x:c r="O30" s="53"/>
      <x:c r="P30" s="53"/>
      <x:c r="Q30" s="53"/>
      <x:c r="R30" s="52"/>
      <x:c r="S30" s="52"/>
      <x:c r="T30" s="52"/>
      <x:c r="U30" s="52"/>
      <x:c r="V30" s="55"/>
      <x:c r="W30" s="52"/>
      <x:c r="X30" s="52"/>
      <x:c r="Y30" s="52"/>
      <x:c r="Z30" s="52"/>
      <x:c r="AA30" s="52"/>
      <x:c r="AB30" s="52"/>
      <x:c r="AC30" s="52"/>
      <x:c r="AD30" s="52"/>
      <x:c r="AE30" s="52"/>
      <x:c r="AF30" s="52"/>
      <x:c r="AG30" s="52"/>
      <x:c r="AH30" s="52"/>
    </x:row>
    <x:row r="31" ht="32" customHeight="1">
      <x:c r="A31" s="38" t="str">
        <x:v>I15</x:v>
      </x:c>
      <x:c r="B31" s="45" t="str">
        <x:v>S01 공격 재현·원인 분석</x:v>
      </x:c>
      <x:c r="C31" s="46" t="str">
        <x:v>M1 유용수</x:v>
      </x:c>
      <x:c r="D31" s="51" t="n">
        <x:v>46328</x:v>
      </x:c>
      <x:c r="E31" s="48" t="str">
        <x:v>조정안</x:v>
      </x:c>
      <x:c r="F31" s="52"/>
      <x:c r="G31" s="52"/>
      <x:c r="H31" s="52"/>
      <x:c r="I31" s="52"/>
      <x:c r="J31" s="52"/>
      <x:c r="K31" s="52"/>
      <x:c r="L31" s="52"/>
      <x:c r="M31" s="52"/>
      <x:c r="N31" s="52"/>
      <x:c r="O31" s="52"/>
      <x:c r="P31" s="53"/>
      <x:c r="Q31" s="53"/>
      <x:c r="R31" s="52"/>
      <x:c r="S31" s="52"/>
      <x:c r="T31" s="57"/>
      <x:c r="U31" s="52"/>
      <x:c r="V31" s="52"/>
      <x:c r="W31" s="52"/>
      <x:c r="X31" s="52"/>
      <x:c r="Y31" s="52"/>
      <x:c r="Z31" s="52"/>
      <x:c r="AA31" s="52"/>
      <x:c r="AB31" s="52"/>
      <x:c r="AC31" s="52"/>
      <x:c r="AD31" s="52"/>
      <x:c r="AE31" s="52"/>
      <x:c r="AF31" s="52"/>
      <x:c r="AG31" s="52"/>
      <x:c r="AH31" s="52"/>
    </x:row>
    <x:row r="32" ht="32" customHeight="1">
      <x:c r="A32" s="21" t="str">
        <x:v>I20</x:v>
      </x:c>
      <x:c r="B32" s="43" t="str">
        <x:v>S02 공격 재현·원인 분석</x:v>
      </x:c>
      <x:c r="C32" s="44" t="str">
        <x:v>M2 윤서영</x:v>
      </x:c>
      <x:c r="D32" s="50" t="n">
        <x:v>46328</x:v>
      </x:c>
      <x:c r="E32" s="49" t="str">
        <x:v>조정안</x:v>
      </x:c>
      <x:c r="F32" s="52"/>
      <x:c r="G32" s="52"/>
      <x:c r="H32" s="52"/>
      <x:c r="I32" s="52"/>
      <x:c r="J32" s="52"/>
      <x:c r="K32" s="52"/>
      <x:c r="L32" s="52"/>
      <x:c r="M32" s="52"/>
      <x:c r="N32" s="52"/>
      <x:c r="O32" s="52"/>
      <x:c r="P32" s="53"/>
      <x:c r="Q32" s="53"/>
      <x:c r="R32" s="52"/>
      <x:c r="S32" s="52"/>
      <x:c r="T32" s="59"/>
      <x:c r="U32" s="52"/>
      <x:c r="V32" s="52"/>
      <x:c r="W32" s="52"/>
      <x:c r="X32" s="52"/>
      <x:c r="Y32" s="52"/>
      <x:c r="Z32" s="52"/>
      <x:c r="AA32" s="52"/>
      <x:c r="AB32" s="52"/>
      <x:c r="AC32" s="52"/>
      <x:c r="AD32" s="52"/>
      <x:c r="AE32" s="52"/>
      <x:c r="AF32" s="52"/>
      <x:c r="AG32" s="52"/>
      <x:c r="AH32" s="52"/>
    </x:row>
    <x:row r="33" ht="32" customHeight="1">
      <x:c r="A33" s="38" t="str">
        <x:v>I30</x:v>
      </x:c>
      <x:c r="B33" s="45" t="str">
        <x:v>S04 공격 재현·원인 분석</x:v>
      </x:c>
      <x:c r="C33" s="46" t="str">
        <x:v>M4 박진혁</x:v>
      </x:c>
      <x:c r="D33" s="51" t="n">
        <x:v>46328</x:v>
      </x:c>
      <x:c r="E33" s="48" t="str">
        <x:v>조정안</x:v>
      </x:c>
      <x:c r="F33" s="52"/>
      <x:c r="G33" s="52"/>
      <x:c r="H33" s="52"/>
      <x:c r="I33" s="52"/>
      <x:c r="J33" s="52"/>
      <x:c r="K33" s="52"/>
      <x:c r="L33" s="52"/>
      <x:c r="M33" s="52"/>
      <x:c r="N33" s="52"/>
      <x:c r="O33" s="52"/>
      <x:c r="P33" s="53"/>
      <x:c r="Q33" s="53"/>
      <x:c r="R33" s="52"/>
      <x:c r="S33" s="52"/>
      <x:c r="T33" s="63"/>
      <x:c r="U33" s="52"/>
      <x:c r="V33" s="52"/>
      <x:c r="W33" s="52"/>
      <x:c r="X33" s="52"/>
      <x:c r="Y33" s="52"/>
      <x:c r="Z33" s="52"/>
      <x:c r="AA33" s="52"/>
      <x:c r="AB33" s="52"/>
      <x:c r="AC33" s="52"/>
      <x:c r="AD33" s="52"/>
      <x:c r="AE33" s="52"/>
      <x:c r="AF33" s="52"/>
      <x:c r="AG33" s="52"/>
      <x:c r="AH33" s="52"/>
    </x:row>
    <x:row r="34" ht="32" customHeight="1">
      <x:c r="A34" s="21" t="str">
        <x:v>D5.2</x:v>
      </x:c>
      <x:c r="B34" s="43" t="str">
        <x:v>Store AWS·도메인·HTTPS 최초 연동</x:v>
      </x:c>
      <x:c r="C34" s="44" t="str">
        <x:v>M5 유은혜</x:v>
      </x:c>
      <x:c r="D34" s="50" t="n">
        <x:v>46331</x:v>
      </x:c>
      <x:c r="E34" s="49" t="str">
        <x:v>조정안</x:v>
      </x:c>
      <x:c r="F34" s="52"/>
      <x:c r="G34" s="52"/>
      <x:c r="H34" s="52"/>
      <x:c r="I34" s="52"/>
      <x:c r="J34" s="52"/>
      <x:c r="K34" s="52"/>
      <x:c r="L34" s="52"/>
      <x:c r="M34" s="52"/>
      <x:c r="N34" s="52"/>
      <x:c r="O34" s="52"/>
      <x:c r="P34" s="52"/>
      <x:c r="Q34" s="52"/>
      <x:c r="R34" s="53"/>
      <x:c r="S34" s="52"/>
      <x:c r="T34" s="52"/>
      <x:c r="U34" s="55"/>
      <x:c r="V34" s="55"/>
      <x:c r="W34" s="55"/>
      <x:c r="X34" s="52"/>
      <x:c r="Y34" s="52"/>
      <x:c r="Z34" s="52"/>
      <x:c r="AA34" s="52"/>
      <x:c r="AB34" s="52"/>
      <x:c r="AC34" s="52"/>
      <x:c r="AD34" s="52"/>
      <x:c r="AE34" s="52"/>
      <x:c r="AF34" s="52"/>
      <x:c r="AG34" s="52"/>
      <x:c r="AH34" s="52"/>
    </x:row>
    <x:row r="35" ht="32" customHeight="1">
      <x:c r="A35" s="38" t="str">
        <x:v>D5.3</x:v>
      </x:c>
      <x:c r="B35" s="45" t="str">
        <x:v>Store 미달 원인·범위·일정 재판정</x:v>
      </x:c>
      <x:c r="C35" s="46" t="str">
        <x:v>M5 유은혜</x:v>
      </x:c>
      <x:c r="D35" s="51" t="n">
        <x:v>46332</x:v>
      </x:c>
      <x:c r="E35" s="48" t="str">
        <x:v>조정안</x:v>
      </x:c>
      <x:c r="F35" s="52"/>
      <x:c r="G35" s="52"/>
      <x:c r="H35" s="52"/>
      <x:c r="I35" s="52"/>
      <x:c r="J35" s="52"/>
      <x:c r="K35" s="52"/>
      <x:c r="L35" s="52"/>
      <x:c r="M35" s="52"/>
      <x:c r="N35" s="52"/>
      <x:c r="O35" s="52"/>
      <x:c r="P35" s="52"/>
      <x:c r="Q35" s="52"/>
      <x:c r="R35" s="52"/>
      <x:c r="S35" s="52"/>
      <x:c r="T35" s="53"/>
      <x:c r="U35" s="52"/>
      <x:c r="V35" s="52"/>
      <x:c r="W35" s="52"/>
      <x:c r="X35" s="55"/>
      <x:c r="Y35" s="52"/>
      <x:c r="Z35" s="52"/>
      <x:c r="AA35" s="52"/>
      <x:c r="AB35" s="52"/>
      <x:c r="AC35" s="52"/>
      <x:c r="AD35" s="52"/>
      <x:c r="AE35" s="52"/>
      <x:c r="AF35" s="52"/>
      <x:c r="AG35" s="52"/>
      <x:c r="AH35" s="52"/>
    </x:row>
    <x:row r="36" ht="32" customHeight="1">
      <x:c r="A36" s="21" t="str">
        <x:v>I25</x:v>
      </x:c>
      <x:c r="B36" s="43" t="str">
        <x:v>S03 공격 재현·원인 분석</x:v>
      </x:c>
      <x:c r="C36" s="44" t="str">
        <x:v>M3 홍은서</x:v>
      </x:c>
      <x:c r="D36" s="50" t="n">
        <x:v>46328</x:v>
      </x:c>
      <x:c r="E36" s="49" t="str">
        <x:v>미확인</x:v>
      </x:c>
      <x:c r="F36" s="29"/>
      <x:c r="G36" s="29"/>
      <x:c r="H36" s="29"/>
      <x:c r="I36" s="29"/>
      <x:c r="J36" s="29"/>
      <x:c r="K36" s="33"/>
      <x:c r="L36" s="33"/>
      <x:c r="M36" s="29"/>
      <x:c r="N36" s="29"/>
      <x:c r="O36" s="29"/>
      <x:c r="P36" s="29"/>
      <x:c r="Q36" s="29"/>
      <x:c r="R36" s="33"/>
      <x:c r="S36" s="33"/>
      <x:c r="T36" s="31"/>
      <x:c r="U36" s="29"/>
      <x:c r="V36" s="29"/>
      <x:c r="W36" s="29"/>
      <x:c r="X36" s="29"/>
      <x:c r="Y36" s="33"/>
      <x:c r="Z36" s="33"/>
      <x:c r="AA36" s="29"/>
      <x:c r="AB36" s="29"/>
      <x:c r="AC36" s="29"/>
      <x:c r="AD36" s="29"/>
      <x:c r="AE36" s="29"/>
      <x:c r="AF36" s="33"/>
      <x:c r="AG36" s="33"/>
      <x:c r="AH36" s="29"/>
    </x:row>
    <x:row r="37" ht="32" customHeight="1">
      <x:c r="A37" s="38" t="str">
        <x:v>I35</x:v>
      </x:c>
      <x:c r="B37" s="45" t="str">
        <x:v>S05 공격 재현·원인 분석</x:v>
      </x:c>
      <x:c r="C37" s="46" t="str">
        <x:v>M5 유은혜</x:v>
      </x:c>
      <x:c r="D37" s="51" t="n">
        <x:v>46328</x:v>
      </x:c>
      <x:c r="E37" s="48" t="str">
        <x:v>미확인</x:v>
      </x:c>
      <x:c r="F37" s="29"/>
      <x:c r="G37" s="29"/>
      <x:c r="H37" s="29"/>
      <x:c r="I37" s="29"/>
      <x:c r="J37" s="29"/>
      <x:c r="K37" s="33"/>
      <x:c r="L37" s="33"/>
      <x:c r="M37" s="29"/>
      <x:c r="N37" s="29"/>
      <x:c r="O37" s="29"/>
      <x:c r="P37" s="29"/>
      <x:c r="Q37" s="29"/>
      <x:c r="R37" s="33"/>
      <x:c r="S37" s="33"/>
      <x:c r="T37" s="31"/>
      <x:c r="U37" s="29"/>
      <x:c r="V37" s="29"/>
      <x:c r="W37" s="29"/>
      <x:c r="X37" s="29"/>
      <x:c r="Y37" s="33"/>
      <x:c r="Z37" s="33"/>
      <x:c r="AA37" s="29"/>
      <x:c r="AB37" s="29"/>
      <x:c r="AC37" s="29"/>
      <x:c r="AD37" s="29"/>
      <x:c r="AE37" s="29"/>
      <x:c r="AF37" s="33"/>
      <x:c r="AG37" s="33"/>
      <x:c r="AH37" s="29"/>
    </x:row>
    <x:row r="38" ht="32" customHeight="1">
      <x:c r="A38" s="21" t="str">
        <x:v>C11.1</x:v>
      </x:c>
      <x:c r="B38" s="43" t="str">
        <x:v>앱·노드·VIP 장애 시험 준비</x:v>
      </x:c>
      <x:c r="C38" s="44" t="str">
        <x:v>M3 홍은서</x:v>
      </x:c>
      <x:c r="D38" s="50" t="n">
        <x:v>46329</x:v>
      </x:c>
      <x:c r="E38" s="49" t="str">
        <x:v>미확인</x:v>
      </x:c>
      <x:c r="F38" s="29"/>
      <x:c r="G38" s="29"/>
      <x:c r="H38" s="29"/>
      <x:c r="I38" s="29"/>
      <x:c r="J38" s="29"/>
      <x:c r="K38" s="33"/>
      <x:c r="L38" s="33"/>
      <x:c r="M38" s="29"/>
      <x:c r="N38" s="29"/>
      <x:c r="O38" s="29"/>
      <x:c r="P38" s="29"/>
      <x:c r="Q38" s="29"/>
      <x:c r="R38" s="33"/>
      <x:c r="S38" s="33"/>
      <x:c r="T38" s="31"/>
      <x:c r="U38" s="31"/>
      <x:c r="V38" s="29"/>
      <x:c r="W38" s="29"/>
      <x:c r="X38" s="29"/>
      <x:c r="Y38" s="33"/>
      <x:c r="Z38" s="33"/>
      <x:c r="AA38" s="29"/>
      <x:c r="AB38" s="29"/>
      <x:c r="AC38" s="29"/>
      <x:c r="AD38" s="29"/>
      <x:c r="AE38" s="29"/>
      <x:c r="AF38" s="33"/>
      <x:c r="AG38" s="33"/>
      <x:c r="AH38" s="29"/>
    </x:row>
    <x:row r="39" ht="32" customHeight="1">
      <x:c r="A39" s="38" t="str">
        <x:v>I16.1</x:v>
      </x:c>
      <x:c r="B39" s="45" t="str">
        <x:v>M1 TO-BE 토폴로지·보안 정책 설계</x:v>
      </x:c>
      <x:c r="C39" s="46" t="str">
        <x:v>M1 유용수</x:v>
      </x:c>
      <x:c r="D39" s="51" t="n">
        <x:v>46329</x:v>
      </x:c>
      <x:c r="E39" s="48" t="str">
        <x:v>미확인</x:v>
      </x:c>
      <x:c r="F39" s="29"/>
      <x:c r="G39" s="29"/>
      <x:c r="H39" s="29"/>
      <x:c r="I39" s="29"/>
      <x:c r="J39" s="29"/>
      <x:c r="K39" s="33"/>
      <x:c r="L39" s="33"/>
      <x:c r="M39" s="29"/>
      <x:c r="N39" s="29"/>
      <x:c r="O39" s="29"/>
      <x:c r="P39" s="29"/>
      <x:c r="Q39" s="29"/>
      <x:c r="R39" s="33"/>
      <x:c r="S39" s="33"/>
      <x:c r="T39" s="29"/>
      <x:c r="U39" s="31"/>
      <x:c r="V39" s="29"/>
      <x:c r="W39" s="29"/>
      <x:c r="X39" s="29"/>
      <x:c r="Y39" s="33"/>
      <x:c r="Z39" s="33"/>
      <x:c r="AA39" s="29"/>
      <x:c r="AB39" s="29"/>
      <x:c r="AC39" s="29"/>
      <x:c r="AD39" s="29"/>
      <x:c r="AE39" s="29"/>
      <x:c r="AF39" s="33"/>
      <x:c r="AG39" s="33"/>
      <x:c r="AH39" s="29"/>
    </x:row>
    <x:row r="40" ht="32" customHeight="1">
      <x:c r="A40" s="21" t="str">
        <x:v>I21.1</x:v>
      </x:c>
      <x:c r="B40" s="43" t="str">
        <x:v>M2 TO-BE 토폴로지·보안 정책 설계</x:v>
      </x:c>
      <x:c r="C40" s="44" t="str">
        <x:v>M2 윤서영</x:v>
      </x:c>
      <x:c r="D40" s="50" t="n">
        <x:v>46329</x:v>
      </x:c>
      <x:c r="E40" s="49" t="str">
        <x:v>미확인</x:v>
      </x:c>
      <x:c r="F40" s="29"/>
      <x:c r="G40" s="29"/>
      <x:c r="H40" s="29"/>
      <x:c r="I40" s="29"/>
      <x:c r="J40" s="29"/>
      <x:c r="K40" s="33"/>
      <x:c r="L40" s="33"/>
      <x:c r="M40" s="29"/>
      <x:c r="N40" s="29"/>
      <x:c r="O40" s="29"/>
      <x:c r="P40" s="29"/>
      <x:c r="Q40" s="29"/>
      <x:c r="R40" s="33"/>
      <x:c r="S40" s="33"/>
      <x:c r="T40" s="29"/>
      <x:c r="U40" s="31"/>
      <x:c r="V40" s="29"/>
      <x:c r="W40" s="29"/>
      <x:c r="X40" s="29"/>
      <x:c r="Y40" s="33"/>
      <x:c r="Z40" s="33"/>
      <x:c r="AA40" s="29"/>
      <x:c r="AB40" s="29"/>
      <x:c r="AC40" s="29"/>
      <x:c r="AD40" s="29"/>
      <x:c r="AE40" s="29"/>
      <x:c r="AF40" s="33"/>
      <x:c r="AG40" s="33"/>
      <x:c r="AH40" s="29"/>
    </x:row>
    <x:row r="41" ht="32" customHeight="1">
      <x:c r="A41" s="38" t="str">
        <x:v>I26.1</x:v>
      </x:c>
      <x:c r="B41" s="45" t="str">
        <x:v>M3 TO-BE 토폴로지·보안 정책 설계</x:v>
      </x:c>
      <x:c r="C41" s="46" t="str">
        <x:v>M3 홍은서</x:v>
      </x:c>
      <x:c r="D41" s="51" t="n">
        <x:v>46329</x:v>
      </x:c>
      <x:c r="E41" s="48" t="str">
        <x:v>미확인</x:v>
      </x:c>
      <x:c r="F41" s="29"/>
      <x:c r="G41" s="29"/>
      <x:c r="H41" s="29"/>
      <x:c r="I41" s="29"/>
      <x:c r="J41" s="29"/>
      <x:c r="K41" s="33"/>
      <x:c r="L41" s="33"/>
      <x:c r="M41" s="29"/>
      <x:c r="N41" s="29"/>
      <x:c r="O41" s="29"/>
      <x:c r="P41" s="29"/>
      <x:c r="Q41" s="29"/>
      <x:c r="R41" s="33"/>
      <x:c r="S41" s="33"/>
      <x:c r="T41" s="29"/>
      <x:c r="U41" s="31"/>
      <x:c r="V41" s="29"/>
      <x:c r="W41" s="29"/>
      <x:c r="X41" s="29"/>
      <x:c r="Y41" s="33"/>
      <x:c r="Z41" s="33"/>
      <x:c r="AA41" s="29"/>
      <x:c r="AB41" s="29"/>
      <x:c r="AC41" s="29"/>
      <x:c r="AD41" s="29"/>
      <x:c r="AE41" s="29"/>
      <x:c r="AF41" s="33"/>
      <x:c r="AG41" s="33"/>
      <x:c r="AH41" s="29"/>
    </x:row>
    <x:row r="42" ht="32" customHeight="1">
      <x:c r="A42" s="21" t="str">
        <x:v>I31.1</x:v>
      </x:c>
      <x:c r="B42" s="43" t="str">
        <x:v>M4 TO-BE 토폴로지·보안 정책 설계</x:v>
      </x:c>
      <x:c r="C42" s="44" t="str">
        <x:v>M4 박진혁</x:v>
      </x:c>
      <x:c r="D42" s="50" t="n">
        <x:v>46329</x:v>
      </x:c>
      <x:c r="E42" s="49" t="str">
        <x:v>미확인</x:v>
      </x:c>
      <x:c r="F42" s="29"/>
      <x:c r="G42" s="29"/>
      <x:c r="H42" s="29"/>
      <x:c r="I42" s="29"/>
      <x:c r="J42" s="29"/>
      <x:c r="K42" s="33"/>
      <x:c r="L42" s="33"/>
      <x:c r="M42" s="29"/>
      <x:c r="N42" s="29"/>
      <x:c r="O42" s="29"/>
      <x:c r="P42" s="29"/>
      <x:c r="Q42" s="29"/>
      <x:c r="R42" s="33"/>
      <x:c r="S42" s="33"/>
      <x:c r="T42" s="29"/>
      <x:c r="U42" s="31"/>
      <x:c r="V42" s="29"/>
      <x:c r="W42" s="29"/>
      <x:c r="X42" s="29"/>
      <x:c r="Y42" s="33"/>
      <x:c r="Z42" s="33"/>
      <x:c r="AA42" s="29"/>
      <x:c r="AB42" s="29"/>
      <x:c r="AC42" s="29"/>
      <x:c r="AD42" s="29"/>
      <x:c r="AE42" s="29"/>
      <x:c r="AF42" s="33"/>
      <x:c r="AG42" s="33"/>
      <x:c r="AH42" s="29"/>
    </x:row>
    <x:row r="43" ht="32" customHeight="1">
      <x:c r="A43" s="38" t="str">
        <x:v>I36.1</x:v>
      </x:c>
      <x:c r="B43" s="45" t="str">
        <x:v>M5 TO-BE 토폴로지·보안 정책 설계</x:v>
      </x:c>
      <x:c r="C43" s="46" t="str">
        <x:v>M5 유은혜</x:v>
      </x:c>
      <x:c r="D43" s="51" t="n">
        <x:v>46329</x:v>
      </x:c>
      <x:c r="E43" s="48" t="str">
        <x:v>미확인</x:v>
      </x:c>
      <x:c r="F43" s="29"/>
      <x:c r="G43" s="29"/>
      <x:c r="H43" s="29"/>
      <x:c r="I43" s="29"/>
      <x:c r="J43" s="29"/>
      <x:c r="K43" s="33"/>
      <x:c r="L43" s="33"/>
      <x:c r="M43" s="29"/>
      <x:c r="N43" s="29"/>
      <x:c r="O43" s="29"/>
      <x:c r="P43" s="29"/>
      <x:c r="Q43" s="29"/>
      <x:c r="R43" s="33"/>
      <x:c r="S43" s="33"/>
      <x:c r="T43" s="29"/>
      <x:c r="U43" s="31"/>
      <x:c r="V43" s="29"/>
      <x:c r="W43" s="29"/>
      <x:c r="X43" s="29"/>
      <x:c r="Y43" s="33"/>
      <x:c r="Z43" s="33"/>
      <x:c r="AA43" s="29"/>
      <x:c r="AB43" s="29"/>
      <x:c r="AC43" s="29"/>
      <x:c r="AD43" s="29"/>
      <x:c r="AE43" s="29"/>
      <x:c r="AF43" s="33"/>
      <x:c r="AG43" s="33"/>
      <x:c r="AH43" s="29"/>
    </x:row>
    <x:row r="44" ht="32" customHeight="1">
      <x:c r="A44" s="21" t="str">
        <x:v>MX1</x:v>
      </x:c>
      <x:c r="B44" s="43" t="str">
        <x:v>M1 후속 실장비 네트워크 설계</x:v>
      </x:c>
      <x:c r="C44" s="44" t="str">
        <x:v>M2 윤서영</x:v>
      </x:c>
      <x:c r="D44" s="23" t="str">
        <x:v>미정</x:v>
      </x:c>
      <x:c r="E44" s="49" t="str">
        <x:v>미확인</x:v>
      </x:c>
      <x:c r="F44" s="29"/>
      <x:c r="G44" s="29"/>
      <x:c r="H44" s="29"/>
      <x:c r="I44" s="29"/>
      <x:c r="J44" s="29"/>
      <x:c r="K44" s="33"/>
      <x:c r="L44" s="33"/>
      <x:c r="M44" s="29"/>
      <x:c r="N44" s="29"/>
      <x:c r="O44" s="29"/>
      <x:c r="P44" s="29"/>
      <x:c r="Q44" s="29"/>
      <x:c r="R44" s="33"/>
      <x:c r="S44" s="33"/>
      <x:c r="T44" s="29"/>
      <x:c r="U44" s="29"/>
      <x:c r="V44" s="29"/>
      <x:c r="W44" s="29"/>
      <x:c r="X44" s="29"/>
      <x:c r="Y44" s="33"/>
      <x:c r="Z44" s="33"/>
      <x:c r="AA44" s="29"/>
      <x:c r="AB44" s="29"/>
      <x:c r="AC44" s="29"/>
      <x:c r="AD44" s="29"/>
      <x:c r="AE44" s="29"/>
      <x:c r="AF44" s="33"/>
      <x:c r="AG44" s="33"/>
      <x:c r="AH44" s="29"/>
    </x:row>
    <x:row r="45" ht="21" customHeight="1">
      <x:c r="A45" s="42" t="str">
        <x:v>10/26 개정 | 팀 결정: AS-IS 10/30·M3/M4 변경·도구 선정 보류 | 후속 날짜: PM 조정안 | 변경·인계 시트 참조</x:v>
      </x:c>
      <x:c r="B45" s="42"/>
      <x:c r="C45" s="42"/>
      <x:c r="D45" s="42"/>
      <x:c r="E45" s="42"/>
      <x:c r="F45" s="42"/>
      <x:c r="G45" s="42"/>
      <x:c r="H45" s="42"/>
      <x:c r="I45" s="42"/>
      <x:c r="J45" s="42"/>
      <x:c r="K45" s="42"/>
      <x:c r="L45" s="42"/>
      <x:c r="M45" s="42"/>
      <x:c r="N45" s="42"/>
      <x:c r="O45" s="42"/>
      <x:c r="P45" s="42"/>
      <x:c r="Q45" s="42"/>
      <x:c r="R45" s="42"/>
      <x:c r="S45" s="42"/>
      <x:c r="T45" s="42"/>
      <x:c r="U45" s="42"/>
      <x:c r="V45" s="42"/>
      <x:c r="W45" s="42"/>
      <x:c r="X45" s="42"/>
      <x:c r="Y45" s="42"/>
      <x:c r="Z45" s="42"/>
      <x:c r="AA45" s="42"/>
      <x:c r="AB45" s="42"/>
      <x:c r="AC45" s="42"/>
      <x:c r="AD45" s="42"/>
      <x:c r="AE45" s="42"/>
      <x:c r="AF45" s="42"/>
      <x:c r="AG45" s="42"/>
      <x:c r="AH45" s="42"/>
    </x:row>
  </x:sheetData>
  <x:mergeCells>
    <x:mergeCell ref="A1:AH1"/>
    <x:mergeCell ref="A2:AH2"/>
    <x:mergeCell ref="A3:AH3"/>
    <x:mergeCell ref="A4:E4"/>
    <x:mergeCell ref="F4:L4"/>
    <x:mergeCell ref="M4:S4"/>
    <x:mergeCell ref="T4:Z4"/>
    <x:mergeCell ref="AA4:AH4"/>
    <x:mergeCell ref="A45:AH45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8.5" hidden="0" customWidth="1"/>
    <x:col min="2" max="2" width="38" hidden="0" customWidth="1"/>
    <x:col min="3" max="3" width="11" hidden="0" customWidth="1"/>
    <x:col min="4" max="4" width="8.5" hidden="0" customWidth="1"/>
    <x:col min="5" max="5" width="15" hidden="0" customWidth="1"/>
    <x:col min="6" max="6" width="2.75" hidden="0" customWidth="1"/>
    <x:col min="7" max="7" width="2.75" hidden="0" customWidth="1"/>
    <x:col min="8" max="8" width="2.75" hidden="0" customWidth="1"/>
    <x:col min="9" max="9" width="2.75" hidden="0" customWidth="1"/>
    <x:col min="10" max="10" width="2.75" hidden="0" customWidth="1"/>
    <x:col min="11" max="11" width="2.75" hidden="0" customWidth="1"/>
    <x:col min="12" max="12" width="2.75" hidden="0" customWidth="1"/>
    <x:col min="13" max="13" width="2.75" hidden="0" customWidth="1"/>
    <x:col min="14" max="14" width="2.75" hidden="0" customWidth="1"/>
    <x:col min="15" max="15" width="2.75" hidden="0" customWidth="1"/>
    <x:col min="16" max="16" width="2.75" hidden="0" customWidth="1"/>
    <x:col min="17" max="17" width="2.75" hidden="0" customWidth="1"/>
    <x:col min="18" max="18" width="2.75" hidden="0" customWidth="1"/>
    <x:col min="19" max="19" width="2.75" hidden="0" customWidth="1"/>
    <x:col min="20" max="20" width="2.75" hidden="0" customWidth="1"/>
    <x:col min="21" max="21" width="2.75" hidden="0" customWidth="1"/>
    <x:col min="22" max="22" width="2.75" hidden="0" customWidth="1"/>
    <x:col min="23" max="23" width="2.75" hidden="0" customWidth="1"/>
    <x:col min="24" max="24" width="2.75" hidden="0" customWidth="1"/>
    <x:col min="25" max="25" width="2.75" hidden="0" customWidth="1"/>
    <x:col min="26" max="26" width="2.75" hidden="0" customWidth="1"/>
    <x:col min="27" max="27" width="2.75" hidden="0" customWidth="1"/>
    <x:col min="28" max="28" width="2.75" hidden="0" customWidth="1"/>
    <x:col min="29" max="29" width="2.75" hidden="0" customWidth="1"/>
    <x:col min="30" max="30" width="2.75" hidden="0" customWidth="1"/>
    <x:col min="31" max="31" width="2.75" hidden="0" customWidth="1"/>
    <x:col min="32" max="32" width="2.75" hidden="0" customWidth="1"/>
    <x:col min="33" max="33" width="2.75" hidden="0" customWidth="1"/>
    <x:col min="34" max="34" width="2.75" hidden="0" customWidth="1"/>
  </x:cols>
  <x:sheetData>
    <x:row r="1" ht="34" customHeight="1">
      <x:c r="A1" s="2" t="str">
        <x:v>OTTer Shield   게시용 WBS  2/2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  <x:c r="AA1" s="2"/>
      <x:c r="AB1" s="2"/>
      <x:c r="AC1" s="2"/>
      <x:c r="AD1" s="2"/>
      <x:c r="AE1" s="2"/>
      <x:c r="AF1" s="2"/>
      <x:c r="AG1" s="2"/>
      <x:c r="AH1" s="2"/>
    </x:row>
    <x:row r="2" ht="22" customHeight="1">
      <x:c r="A2" s="3" t="str">
        <x:v>2026.10.26 개정 · AS-IS 10/30 · 후속 개발 일정은 PM 조정안</x:v>
      </x:c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  <x:c r="O2" s="3"/>
      <x:c r="P2" s="3"/>
      <x:c r="Q2" s="3"/>
      <x:c r="R2" s="3"/>
      <x:c r="S2" s="3"/>
      <x:c r="T2" s="3"/>
      <x:c r="U2" s="3"/>
      <x:c r="V2" s="3"/>
      <x:c r="W2" s="3"/>
      <x:c r="X2" s="3"/>
      <x:c r="Y2" s="3"/>
      <x:c r="Z2" s="3"/>
      <x:c r="AA2" s="3"/>
      <x:c r="AB2" s="3"/>
      <x:c r="AC2" s="3"/>
      <x:c r="AD2" s="3"/>
      <x:c r="AE2" s="3"/>
      <x:c r="AF2" s="3"/>
      <x:c r="AG2" s="3"/>
      <x:c r="AH2" s="3"/>
    </x:row>
    <x:row r="3" ht="22" customHeight="1">
      <x:c r="A3" s="4" t="str">
        <x:v>기존 73개 ID 유지. 실행·선행·인계 기준은 상세실행 시트. 미확인은 미착수 의미가 아닙니다.</x:v>
      </x:c>
      <x:c r="B3" s="4"/>
      <x:c r="C3" s="4"/>
      <x:c r="D3" s="4"/>
      <x:c r="E3" s="4"/>
      <x:c r="F3" s="4"/>
      <x:c r="G3" s="4"/>
      <x:c r="H3" s="4"/>
      <x:c r="I3" s="4"/>
      <x:c r="J3" s="4"/>
      <x:c r="K3" s="4"/>
      <x:c r="L3" s="4"/>
      <x:c r="M3" s="4"/>
      <x:c r="N3" s="4"/>
      <x:c r="O3" s="4"/>
      <x:c r="P3" s="4"/>
      <x:c r="Q3" s="4"/>
      <x:c r="R3" s="4"/>
      <x:c r="S3" s="4"/>
      <x:c r="T3" s="4"/>
      <x:c r="U3" s="4"/>
      <x:c r="V3" s="4"/>
      <x:c r="W3" s="4"/>
      <x:c r="X3" s="4"/>
      <x:c r="Y3" s="4"/>
      <x:c r="Z3" s="4"/>
      <x:c r="AA3" s="4"/>
      <x:c r="AB3" s="4"/>
      <x:c r="AC3" s="4"/>
      <x:c r="AD3" s="4"/>
      <x:c r="AE3" s="4"/>
      <x:c r="AF3" s="4"/>
      <x:c r="AG3" s="4"/>
      <x:c r="AH3" s="4"/>
    </x:row>
    <x:row r="4" ht="21" customHeight="1">
      <x:c r="A4" s="7" t="str">
        <x:v>담당 업무  |  WBS ID로 원본 상세 확인</x:v>
      </x:c>
      <x:c r="B4" s="7"/>
      <x:c r="C4" s="7"/>
      <x:c r="D4" s="7"/>
      <x:c r="E4" s="7"/>
      <x:c r="F4" s="10" t="str">
        <x:v>10/19–10/25</x:v>
      </x:c>
      <x:c r="G4" s="10"/>
      <x:c r="H4" s="10"/>
      <x:c r="I4" s="10"/>
      <x:c r="J4" s="10"/>
      <x:c r="K4" s="10"/>
      <x:c r="L4" s="10"/>
      <x:c r="M4" s="10" t="str">
        <x:v>10/26–11/01</x:v>
      </x:c>
      <x:c r="N4" s="10"/>
      <x:c r="O4" s="10"/>
      <x:c r="P4" s="10"/>
      <x:c r="Q4" s="10"/>
      <x:c r="R4" s="10"/>
      <x:c r="S4" s="10"/>
      <x:c r="T4" s="10" t="str">
        <x:v>11/02–11/08</x:v>
      </x:c>
      <x:c r="U4" s="10"/>
      <x:c r="V4" s="10"/>
      <x:c r="W4" s="10"/>
      <x:c r="X4" s="10"/>
      <x:c r="Y4" s="10"/>
      <x:c r="Z4" s="10"/>
      <x:c r="AA4" s="10" t="str">
        <x:v>11/09–11/16</x:v>
      </x:c>
      <x:c r="AB4" s="10"/>
      <x:c r="AC4" s="10"/>
      <x:c r="AD4" s="10"/>
      <x:c r="AE4" s="10"/>
      <x:c r="AF4" s="10"/>
      <x:c r="AG4" s="10"/>
      <x:c r="AH4" s="10"/>
    </x:row>
    <x:row r="5" ht="24" customHeight="1">
      <x:c r="A5" s="14" t="str">
        <x:v>ID</x:v>
      </x:c>
      <x:c r="B5" s="15" t="str">
        <x:v>업무</x:v>
      </x:c>
      <x:c r="C5" s="14" t="str">
        <x:v>담당</x:v>
      </x:c>
      <x:c r="D5" s="14" t="str">
        <x:v>현재 목표</x:v>
      </x:c>
      <x:c r="E5" s="14" t="str">
        <x:v>기준 상태</x:v>
      </x:c>
      <x:c r="F5" s="14" t="str">
        <x:v>19</x:v>
      </x:c>
      <x:c r="G5" s="14" t="str">
        <x:v>20</x:v>
      </x:c>
      <x:c r="H5" s="14" t="str">
        <x:v>21</x:v>
      </x:c>
      <x:c r="I5" s="14" t="str">
        <x:v>22</x:v>
      </x:c>
      <x:c r="J5" s="14" t="str">
        <x:v>23</x:v>
      </x:c>
      <x:c r="K5" s="14" t="str">
        <x:v>24</x:v>
      </x:c>
      <x:c r="L5" s="14" t="str">
        <x:v>25</x:v>
      </x:c>
      <x:c r="M5" s="14" t="str">
        <x:v>26</x:v>
      </x:c>
      <x:c r="N5" s="14" t="str">
        <x:v>27</x:v>
      </x:c>
      <x:c r="O5" s="14" t="str">
        <x:v>28</x:v>
      </x:c>
      <x:c r="P5" s="14" t="str">
        <x:v>29</x:v>
      </x:c>
      <x:c r="Q5" s="14" t="str">
        <x:v>30</x:v>
      </x:c>
      <x:c r="R5" s="14" t="str">
        <x:v>31</x:v>
      </x:c>
      <x:c r="S5" s="14" t="str">
        <x:v>1</x:v>
      </x:c>
      <x:c r="T5" s="14" t="str">
        <x:v>2</x:v>
      </x:c>
      <x:c r="U5" s="14" t="str">
        <x:v>3</x:v>
      </x:c>
      <x:c r="V5" s="14" t="str">
        <x:v>4</x:v>
      </x:c>
      <x:c r="W5" s="14" t="str">
        <x:v>5</x:v>
      </x:c>
      <x:c r="X5" s="14" t="str">
        <x:v>6</x:v>
      </x:c>
      <x:c r="Y5" s="14" t="str">
        <x:v>7</x:v>
      </x:c>
      <x:c r="Z5" s="14" t="str">
        <x:v>8</x:v>
      </x:c>
      <x:c r="AA5" s="14" t="str">
        <x:v>9</x:v>
      </x:c>
      <x:c r="AB5" s="14" t="str">
        <x:v>10</x:v>
      </x:c>
      <x:c r="AC5" s="14" t="str">
        <x:v>11</x:v>
      </x:c>
      <x:c r="AD5" s="14" t="str">
        <x:v>12</x:v>
      </x:c>
      <x:c r="AE5" s="14" t="str">
        <x:v>13</x:v>
      </x:c>
      <x:c r="AF5" s="14" t="str">
        <x:v>14</x:v>
      </x:c>
      <x:c r="AG5" s="14" t="str">
        <x:v>15</x:v>
      </x:c>
      <x:c r="AH5" s="14" t="str">
        <x:v>16</x:v>
      </x:c>
    </x:row>
    <x:row r="6" ht="32" customHeight="1">
      <x:c r="A6" s="21" t="str">
        <x:v>D6.2</x:v>
      </x:c>
      <x:c r="B6" s="43" t="str">
        <x:v>선정 도구의 첫 서비스 배포 자동화</x:v>
      </x:c>
      <x:c r="C6" s="44" t="str">
        <x:v>M5 유은혜</x:v>
      </x:c>
      <x:c r="D6" s="50" t="n">
        <x:v>46332</x:v>
      </x:c>
      <x:c r="E6" s="49" t="str">
        <x:v>조정안</x:v>
      </x:c>
      <x:c r="F6" s="52"/>
      <x:c r="G6" s="52"/>
      <x:c r="H6" s="52"/>
      <x:c r="I6" s="52"/>
      <x:c r="J6" s="52"/>
      <x:c r="K6" s="52"/>
      <x:c r="L6" s="52"/>
      <x:c r="M6" s="52"/>
      <x:c r="N6" s="52"/>
      <x:c r="O6" s="52"/>
      <x:c r="P6" s="52"/>
      <x:c r="Q6" s="52"/>
      <x:c r="R6" s="52"/>
      <x:c r="S6" s="52"/>
      <x:c r="T6" s="52"/>
      <x:c r="U6" s="52"/>
      <x:c r="V6" s="53"/>
      <x:c r="W6" s="55"/>
      <x:c r="X6" s="55"/>
      <x:c r="Y6" s="52"/>
      <x:c r="Z6" s="52"/>
      <x:c r="AA6" s="52"/>
      <x:c r="AB6" s="52"/>
      <x:c r="AC6" s="52"/>
      <x:c r="AD6" s="52"/>
      <x:c r="AE6" s="52"/>
      <x:c r="AF6" s="52"/>
      <x:c r="AG6" s="52"/>
      <x:c r="AH6" s="52"/>
    </x:row>
    <x:row r="7" ht="32" customHeight="1">
      <x:c r="A7" s="38" t="str">
        <x:v>D7</x:v>
      </x:c>
      <x:c r="B7" s="45" t="str">
        <x:v>실제 자막 생성·AI 웹 연동</x:v>
      </x:c>
      <x:c r="C7" s="46" t="str">
        <x:v>M5 유은혜</x:v>
      </x:c>
      <x:c r="D7" s="51" t="n">
        <x:v>46334</x:v>
      </x:c>
      <x:c r="E7" s="48" t="str">
        <x:v>조정안</x:v>
      </x:c>
      <x:c r="F7" s="52"/>
      <x:c r="G7" s="52"/>
      <x:c r="H7" s="52"/>
      <x:c r="I7" s="52"/>
      <x:c r="J7" s="52"/>
      <x:c r="K7" s="52"/>
      <x:c r="L7" s="52"/>
      <x:c r="M7" s="52"/>
      <x:c r="N7" s="52"/>
      <x:c r="O7" s="52"/>
      <x:c r="P7" s="52"/>
      <x:c r="Q7" s="52"/>
      <x:c r="R7" s="52"/>
      <x:c r="S7" s="52"/>
      <x:c r="T7" s="53"/>
      <x:c r="U7" s="64"/>
      <x:c r="V7" s="64"/>
      <x:c r="W7" s="55"/>
      <x:c r="X7" s="55"/>
      <x:c r="Y7" s="55"/>
      <x:c r="Z7" s="55"/>
      <x:c r="AA7" s="52"/>
      <x:c r="AB7" s="52"/>
      <x:c r="AC7" s="52"/>
      <x:c r="AD7" s="52"/>
      <x:c r="AE7" s="52"/>
      <x:c r="AF7" s="52"/>
      <x:c r="AG7" s="52"/>
      <x:c r="AH7" s="52"/>
    </x:row>
    <x:row r="8" ht="32" customHeight="1">
      <x:c r="A8" s="21" t="str">
        <x:v>I26.2</x:v>
      </x:c>
      <x:c r="B8" s="43" t="str">
        <x:v>S03·S05 접근제어·앱 부하 분산 적용</x:v>
      </x:c>
      <x:c r="C8" s="44" t="str">
        <x:v>M3 홍은서</x:v>
      </x:c>
      <x:c r="D8" s="50" t="n">
        <x:v>46330</x:v>
      </x:c>
      <x:c r="E8" s="49" t="str">
        <x:v>미확인</x:v>
      </x:c>
      <x:c r="F8" s="29"/>
      <x:c r="G8" s="29"/>
      <x:c r="H8" s="29"/>
      <x:c r="I8" s="29"/>
      <x:c r="J8" s="29"/>
      <x:c r="K8" s="33"/>
      <x:c r="L8" s="33"/>
      <x:c r="M8" s="29"/>
      <x:c r="N8" s="29"/>
      <x:c r="O8" s="29"/>
      <x:c r="P8" s="29"/>
      <x:c r="Q8" s="29"/>
      <x:c r="R8" s="33"/>
      <x:c r="S8" s="33"/>
      <x:c r="T8" s="29"/>
      <x:c r="U8" s="29"/>
      <x:c r="V8" s="31"/>
      <x:c r="W8" s="29"/>
      <x:c r="X8" s="29"/>
      <x:c r="Y8" s="33"/>
      <x:c r="Z8" s="33"/>
      <x:c r="AA8" s="29"/>
      <x:c r="AB8" s="29"/>
      <x:c r="AC8" s="29"/>
      <x:c r="AD8" s="29"/>
      <x:c r="AE8" s="29"/>
      <x:c r="AF8" s="33"/>
      <x:c r="AG8" s="33"/>
      <x:c r="AH8" s="29"/>
    </x:row>
    <x:row r="9" ht="32" customHeight="1">
      <x:c r="A9" s="38" t="str">
        <x:v>I31.2</x:v>
      </x:c>
      <x:c r="B9" s="45" t="str">
        <x:v>백업 파일 접근권한·감사 로그 설정</x:v>
      </x:c>
      <x:c r="C9" s="46" t="str">
        <x:v>M4 박진혁</x:v>
      </x:c>
      <x:c r="D9" s="51" t="n">
        <x:v>46330</x:v>
      </x:c>
      <x:c r="E9" s="48" t="str">
        <x:v>미확인</x:v>
      </x:c>
      <x:c r="F9" s="29"/>
      <x:c r="G9" s="29"/>
      <x:c r="H9" s="29"/>
      <x:c r="I9" s="29"/>
      <x:c r="J9" s="29"/>
      <x:c r="K9" s="33"/>
      <x:c r="L9" s="33"/>
      <x:c r="M9" s="29"/>
      <x:c r="N9" s="29"/>
      <x:c r="O9" s="29"/>
      <x:c r="P9" s="29"/>
      <x:c r="Q9" s="29"/>
      <x:c r="R9" s="33"/>
      <x:c r="S9" s="33"/>
      <x:c r="T9" s="29"/>
      <x:c r="U9" s="29"/>
      <x:c r="V9" s="31"/>
      <x:c r="W9" s="29"/>
      <x:c r="X9" s="29"/>
      <x:c r="Y9" s="33"/>
      <x:c r="Z9" s="33"/>
      <x:c r="AA9" s="29"/>
      <x:c r="AB9" s="29"/>
      <x:c r="AC9" s="29"/>
      <x:c r="AD9" s="29"/>
      <x:c r="AE9" s="29"/>
      <x:c r="AF9" s="33"/>
      <x:c r="AG9" s="33"/>
      <x:c r="AH9" s="29"/>
    </x:row>
    <x:row r="10" ht="32" customHeight="1">
      <x:c r="A10" s="21" t="str">
        <x:v>C10.3</x:v>
      </x:c>
      <x:c r="B10" s="43" t="str">
        <x:v>로컬 복원 재확인·AWS 복원 환경 준비</x:v>
      </x:c>
      <x:c r="C10" s="44" t="str">
        <x:v>M4 박진혁</x:v>
      </x:c>
      <x:c r="D10" s="50" t="n">
        <x:v>46331</x:v>
      </x:c>
      <x:c r="E10" s="49" t="str">
        <x:v>조정안</x:v>
      </x:c>
      <x:c r="F10" s="52"/>
      <x:c r="G10" s="52"/>
      <x:c r="H10" s="52"/>
      <x:c r="I10" s="52"/>
      <x:c r="J10" s="52"/>
      <x:c r="K10" s="52"/>
      <x:c r="L10" s="52"/>
      <x:c r="M10" s="52"/>
      <x:c r="N10" s="52"/>
      <x:c r="O10" s="52"/>
      <x:c r="P10" s="52"/>
      <x:c r="Q10" s="52"/>
      <x:c r="R10" s="52"/>
      <x:c r="S10" s="52"/>
      <x:c r="T10" s="52"/>
      <x:c r="U10" s="52"/>
      <x:c r="V10" s="65"/>
      <x:c r="W10" s="54"/>
      <x:c r="X10" s="52"/>
      <x:c r="Y10" s="52"/>
      <x:c r="Z10" s="52"/>
      <x:c r="AA10" s="52"/>
      <x:c r="AB10" s="52"/>
      <x:c r="AC10" s="52"/>
      <x:c r="AD10" s="52"/>
      <x:c r="AE10" s="52"/>
      <x:c r="AF10" s="52"/>
      <x:c r="AG10" s="52"/>
      <x:c r="AH10" s="52"/>
    </x:row>
    <x:row r="11" ht="32" customHeight="1">
      <x:c r="A11" s="38" t="str">
        <x:v>D6.3</x:v>
      </x:c>
      <x:c r="B11" s="45" t="str">
        <x:v>Store 배포·롤백 확인 / 추가 자동화 판정</x:v>
      </x:c>
      <x:c r="C11" s="46" t="str">
        <x:v>M5 유은혜</x:v>
      </x:c>
      <x:c r="D11" s="51" t="n">
        <x:v>46334</x:v>
      </x:c>
      <x:c r="E11" s="48" t="str">
        <x:v>조건부</x:v>
      </x:c>
      <x:c r="F11" s="52"/>
      <x:c r="G11" s="52"/>
      <x:c r="H11" s="52"/>
      <x:c r="I11" s="52"/>
      <x:c r="J11" s="52"/>
      <x:c r="K11" s="52"/>
      <x:c r="L11" s="52"/>
      <x:c r="M11" s="52"/>
      <x:c r="N11" s="52"/>
      <x:c r="O11" s="52"/>
      <x:c r="P11" s="52"/>
      <x:c r="Q11" s="52"/>
      <x:c r="R11" s="52"/>
      <x:c r="S11" s="52"/>
      <x:c r="T11" s="52"/>
      <x:c r="U11" s="52"/>
      <x:c r="V11" s="52"/>
      <x:c r="W11" s="53"/>
      <x:c r="X11" s="52"/>
      <x:c r="Y11" s="55"/>
      <x:c r="Z11" s="55"/>
      <x:c r="AA11" s="52"/>
      <x:c r="AB11" s="52"/>
      <x:c r="AC11" s="52"/>
      <x:c r="AD11" s="52"/>
      <x:c r="AE11" s="52"/>
      <x:c r="AF11" s="52"/>
      <x:c r="AG11" s="52"/>
      <x:c r="AH11" s="52"/>
    </x:row>
    <x:row r="12" ht="32" customHeight="1">
      <x:c r="A12" s="21" t="str">
        <x:v>I16.2</x:v>
      </x:c>
      <x:c r="B12" s="43" t="str">
        <x:v>직원망 SSH 차단·관리망 접근 허용</x:v>
      </x:c>
      <x:c r="C12" s="44" t="str">
        <x:v>M1 유용수</x:v>
      </x:c>
      <x:c r="D12" s="50" t="n">
        <x:v>46331</x:v>
      </x:c>
      <x:c r="E12" s="49" t="str">
        <x:v>미확인</x:v>
      </x:c>
      <x:c r="F12" s="29"/>
      <x:c r="G12" s="29"/>
      <x:c r="H12" s="29"/>
      <x:c r="I12" s="29"/>
      <x:c r="J12" s="29"/>
      <x:c r="K12" s="33"/>
      <x:c r="L12" s="33"/>
      <x:c r="M12" s="29"/>
      <x:c r="N12" s="29"/>
      <x:c r="O12" s="29"/>
      <x:c r="P12" s="29"/>
      <x:c r="Q12" s="29"/>
      <x:c r="R12" s="33"/>
      <x:c r="S12" s="33"/>
      <x:c r="T12" s="29"/>
      <x:c r="U12" s="29"/>
      <x:c r="V12" s="31"/>
      <x:c r="W12" s="31"/>
      <x:c r="X12" s="29"/>
      <x:c r="Y12" s="33"/>
      <x:c r="Z12" s="33"/>
      <x:c r="AA12" s="29"/>
      <x:c r="AB12" s="29"/>
      <x:c r="AC12" s="29"/>
      <x:c r="AD12" s="29"/>
      <x:c r="AE12" s="29"/>
      <x:c r="AF12" s="33"/>
      <x:c r="AG12" s="33"/>
      <x:c r="AH12" s="29"/>
    </x:row>
    <x:row r="13" ht="32" customHeight="1">
      <x:c r="A13" s="38" t="str">
        <x:v>I21.2</x:v>
      </x:c>
      <x:c r="B13" s="45" t="str">
        <x:v>독일 Wazuh 구축·대응 정책 적용</x:v>
      </x:c>
      <x:c r="C13" s="46" t="str">
        <x:v>M2 윤서영</x:v>
      </x:c>
      <x:c r="D13" s="51" t="n">
        <x:v>46331</x:v>
      </x:c>
      <x:c r="E13" s="48" t="str">
        <x:v>미확인</x:v>
      </x:c>
      <x:c r="F13" s="29"/>
      <x:c r="G13" s="29"/>
      <x:c r="H13" s="29"/>
      <x:c r="I13" s="29"/>
      <x:c r="J13" s="29"/>
      <x:c r="K13" s="33"/>
      <x:c r="L13" s="33"/>
      <x:c r="M13" s="29"/>
      <x:c r="N13" s="29"/>
      <x:c r="O13" s="29"/>
      <x:c r="P13" s="29"/>
      <x:c r="Q13" s="29"/>
      <x:c r="R13" s="33"/>
      <x:c r="S13" s="33"/>
      <x:c r="T13" s="29"/>
      <x:c r="U13" s="29"/>
      <x:c r="V13" s="31"/>
      <x:c r="W13" s="31"/>
      <x:c r="X13" s="29"/>
      <x:c r="Y13" s="33"/>
      <x:c r="Z13" s="33"/>
      <x:c r="AA13" s="29"/>
      <x:c r="AB13" s="29"/>
      <x:c r="AC13" s="29"/>
      <x:c r="AD13" s="29"/>
      <x:c r="AE13" s="29"/>
      <x:c r="AF13" s="33"/>
      <x:c r="AG13" s="33"/>
      <x:c r="AH13" s="29"/>
    </x:row>
    <x:row r="14" ht="32" customHeight="1">
      <x:c r="A14" s="21" t="str">
        <x:v>I26.3</x:v>
      </x:c>
      <x:c r="B14" s="43" t="str">
        <x:v>Nginx B·VIP 적용 여부·작업 시간 판정</x:v>
      </x:c>
      <x:c r="C14" s="44" t="str">
        <x:v>M3 홍은서</x:v>
      </x:c>
      <x:c r="D14" s="50" t="n">
        <x:v>46331</x:v>
      </x:c>
      <x:c r="E14" s="49" t="str">
        <x:v>범위 확인</x:v>
      </x:c>
      <x:c r="F14" s="52"/>
      <x:c r="G14" s="52"/>
      <x:c r="H14" s="52"/>
      <x:c r="I14" s="52"/>
      <x:c r="J14" s="52"/>
      <x:c r="K14" s="52"/>
      <x:c r="L14" s="52"/>
      <x:c r="M14" s="52"/>
      <x:c r="N14" s="52"/>
      <x:c r="O14" s="52"/>
      <x:c r="P14" s="52"/>
      <x:c r="Q14" s="52"/>
      <x:c r="R14" s="52"/>
      <x:c r="S14" s="52"/>
      <x:c r="T14" s="52"/>
      <x:c r="U14" s="52"/>
      <x:c r="V14" s="52"/>
      <x:c r="W14" s="60"/>
      <x:c r="X14" s="52"/>
      <x:c r="Y14" s="52"/>
      <x:c r="Z14" s="52"/>
      <x:c r="AA14" s="52"/>
      <x:c r="AB14" s="52"/>
      <x:c r="AC14" s="52"/>
      <x:c r="AD14" s="52"/>
      <x:c r="AE14" s="52"/>
      <x:c r="AF14" s="52"/>
      <x:c r="AG14" s="52"/>
      <x:c r="AH14" s="52"/>
    </x:row>
    <x:row r="15" ht="32" customHeight="1">
      <x:c r="A15" s="38" t="str">
        <x:v>I31.3</x:v>
      </x:c>
      <x:c r="B15" s="45" t="str">
        <x:v>Replica·ProxySQL 정상 동작 재확인</x:v>
      </x:c>
      <x:c r="C15" s="46" t="str">
        <x:v>M4 박진혁</x:v>
      </x:c>
      <x:c r="D15" s="51" t="n">
        <x:v>46332</x:v>
      </x:c>
      <x:c r="E15" s="48" t="str">
        <x:v>조정안</x:v>
      </x:c>
      <x:c r="F15" s="52"/>
      <x:c r="G15" s="52"/>
      <x:c r="H15" s="52"/>
      <x:c r="I15" s="52"/>
      <x:c r="J15" s="52"/>
      <x:c r="K15" s="52"/>
      <x:c r="L15" s="52"/>
      <x:c r="M15" s="52"/>
      <x:c r="N15" s="52"/>
      <x:c r="O15" s="52"/>
      <x:c r="P15" s="52"/>
      <x:c r="Q15" s="52"/>
      <x:c r="R15" s="52"/>
      <x:c r="S15" s="52"/>
      <x:c r="T15" s="52"/>
      <x:c r="U15" s="52"/>
      <x:c r="V15" s="63"/>
      <x:c r="W15" s="62"/>
      <x:c r="X15" s="63"/>
      <x:c r="Y15" s="52"/>
      <x:c r="Z15" s="52"/>
      <x:c r="AA15" s="52"/>
      <x:c r="AB15" s="52"/>
      <x:c r="AC15" s="52"/>
      <x:c r="AD15" s="52"/>
      <x:c r="AE15" s="52"/>
      <x:c r="AF15" s="52"/>
      <x:c r="AG15" s="52"/>
      <x:c r="AH15" s="52"/>
    </x:row>
    <x:row r="16" ht="32" customHeight="1">
      <x:c r="A16" s="21" t="str">
        <x:v>C8</x:v>
      </x:c>
      <x:c r="B16" s="43" t="str">
        <x:v>AI 포함 앱·세션·배포 최종 통합 확인</x:v>
      </x:c>
      <x:c r="C16" s="44" t="str">
        <x:v>M5 유은혜</x:v>
      </x:c>
      <x:c r="D16" s="50" t="n">
        <x:v>46335</x:v>
      </x:c>
      <x:c r="E16" s="49" t="str">
        <x:v>조정안</x:v>
      </x:c>
      <x:c r="F16" s="52"/>
      <x:c r="G16" s="52"/>
      <x:c r="H16" s="52"/>
      <x:c r="I16" s="52"/>
      <x:c r="J16" s="52"/>
      <x:c r="K16" s="52"/>
      <x:c r="L16" s="52"/>
      <x:c r="M16" s="52"/>
      <x:c r="N16" s="52"/>
      <x:c r="O16" s="52"/>
      <x:c r="P16" s="52"/>
      <x:c r="Q16" s="52"/>
      <x:c r="R16" s="52"/>
      <x:c r="S16" s="52"/>
      <x:c r="T16" s="52"/>
      <x:c r="U16" s="52"/>
      <x:c r="V16" s="52"/>
      <x:c r="W16" s="52"/>
      <x:c r="X16" s="65"/>
      <x:c r="Y16" s="54"/>
      <x:c r="Z16" s="54"/>
      <x:c r="AA16" s="54"/>
      <x:c r="AB16" s="52"/>
      <x:c r="AC16" s="52"/>
      <x:c r="AD16" s="52"/>
      <x:c r="AE16" s="52"/>
      <x:c r="AF16" s="52"/>
      <x:c r="AG16" s="52"/>
      <x:c r="AH16" s="52"/>
    </x:row>
    <x:row r="17" ht="32" customHeight="1">
      <x:c r="A17" s="38" t="str">
        <x:v>C10.4</x:v>
      </x:c>
      <x:c r="B17" s="45" t="str">
        <x:v>S3 백업본·격리 복원 검증</x:v>
      </x:c>
      <x:c r="C17" s="46" t="str">
        <x:v>M4 박진혁</x:v>
      </x:c>
      <x:c r="D17" s="51" t="n">
        <x:v>46332</x:v>
      </x:c>
      <x:c r="E17" s="48" t="str">
        <x:v>미확인</x:v>
      </x:c>
      <x:c r="F17" s="29"/>
      <x:c r="G17" s="29"/>
      <x:c r="H17" s="29"/>
      <x:c r="I17" s="29"/>
      <x:c r="J17" s="29"/>
      <x:c r="K17" s="33"/>
      <x:c r="L17" s="33"/>
      <x:c r="M17" s="29"/>
      <x:c r="N17" s="29"/>
      <x:c r="O17" s="29"/>
      <x:c r="P17" s="29"/>
      <x:c r="Q17" s="29"/>
      <x:c r="R17" s="33"/>
      <x:c r="S17" s="33"/>
      <x:c r="T17" s="29"/>
      <x:c r="U17" s="29"/>
      <x:c r="V17" s="29"/>
      <x:c r="W17" s="29"/>
      <x:c r="X17" s="31"/>
      <x:c r="Y17" s="33"/>
      <x:c r="Z17" s="33"/>
      <x:c r="AA17" s="29"/>
      <x:c r="AB17" s="29"/>
      <x:c r="AC17" s="29"/>
      <x:c r="AD17" s="29"/>
      <x:c r="AE17" s="29"/>
      <x:c r="AF17" s="33"/>
      <x:c r="AG17" s="33"/>
      <x:c r="AH17" s="29"/>
    </x:row>
    <x:row r="18" ht="32" customHeight="1">
      <x:c r="A18" s="21" t="str">
        <x:v>I16.3</x:v>
      </x:c>
      <x:c r="B18" s="43" t="str">
        <x:v>M1 개선 설정 통합·정상 통신 검증</x:v>
      </x:c>
      <x:c r="C18" s="44" t="str">
        <x:v>M1 유용수</x:v>
      </x:c>
      <x:c r="D18" s="50" t="n">
        <x:v>46332</x:v>
      </x:c>
      <x:c r="E18" s="49" t="str">
        <x:v>미확인</x:v>
      </x:c>
      <x:c r="F18" s="29"/>
      <x:c r="G18" s="29"/>
      <x:c r="H18" s="29"/>
      <x:c r="I18" s="29"/>
      <x:c r="J18" s="29"/>
      <x:c r="K18" s="33"/>
      <x:c r="L18" s="33"/>
      <x:c r="M18" s="29"/>
      <x:c r="N18" s="29"/>
      <x:c r="O18" s="29"/>
      <x:c r="P18" s="29"/>
      <x:c r="Q18" s="29"/>
      <x:c r="R18" s="33"/>
      <x:c r="S18" s="33"/>
      <x:c r="T18" s="29"/>
      <x:c r="U18" s="29"/>
      <x:c r="V18" s="29"/>
      <x:c r="W18" s="29"/>
      <x:c r="X18" s="31"/>
      <x:c r="Y18" s="33"/>
      <x:c r="Z18" s="33"/>
      <x:c r="AA18" s="29"/>
      <x:c r="AB18" s="29"/>
      <x:c r="AC18" s="29"/>
      <x:c r="AD18" s="29"/>
      <x:c r="AE18" s="29"/>
      <x:c r="AF18" s="33"/>
      <x:c r="AG18" s="33"/>
      <x:c r="AH18" s="29"/>
    </x:row>
    <x:row r="19" ht="32" customHeight="1">
      <x:c r="A19" s="38" t="str">
        <x:v>I21.3</x:v>
      </x:c>
      <x:c r="B19" s="45" t="str">
        <x:v>독일 탐지·차단 해제·정상 동작 검증</x:v>
      </x:c>
      <x:c r="C19" s="46" t="str">
        <x:v>M2 윤서영</x:v>
      </x:c>
      <x:c r="D19" s="51" t="n">
        <x:v>46332</x:v>
      </x:c>
      <x:c r="E19" s="48" t="str">
        <x:v>미확인</x:v>
      </x:c>
      <x:c r="F19" s="29"/>
      <x:c r="G19" s="29"/>
      <x:c r="H19" s="29"/>
      <x:c r="I19" s="29"/>
      <x:c r="J19" s="29"/>
      <x:c r="K19" s="33"/>
      <x:c r="L19" s="33"/>
      <x:c r="M19" s="29"/>
      <x:c r="N19" s="29"/>
      <x:c r="O19" s="29"/>
      <x:c r="P19" s="29"/>
      <x:c r="Q19" s="29"/>
      <x:c r="R19" s="33"/>
      <x:c r="S19" s="33"/>
      <x:c r="T19" s="29"/>
      <x:c r="U19" s="29"/>
      <x:c r="V19" s="29"/>
      <x:c r="W19" s="29"/>
      <x:c r="X19" s="31"/>
      <x:c r="Y19" s="33"/>
      <x:c r="Z19" s="33"/>
      <x:c r="AA19" s="29"/>
      <x:c r="AB19" s="29"/>
      <x:c r="AC19" s="29"/>
      <x:c r="AD19" s="29"/>
      <x:c r="AE19" s="29"/>
      <x:c r="AF19" s="33"/>
      <x:c r="AG19" s="33"/>
      <x:c r="AH19" s="29"/>
    </x:row>
    <x:row r="20" ht="32" customHeight="1">
      <x:c r="A20" s="21" t="str">
        <x:v>I26.4</x:v>
      </x:c>
      <x:c r="B20" s="43" t="str">
        <x:v>M3 개선 설정 통합 검증</x:v>
      </x:c>
      <x:c r="C20" s="44" t="str">
        <x:v>M3 홍은서</x:v>
      </x:c>
      <x:c r="D20" s="50" t="n">
        <x:v>46332</x:v>
      </x:c>
      <x:c r="E20" s="49" t="str">
        <x:v>미확인</x:v>
      </x:c>
      <x:c r="F20" s="29"/>
      <x:c r="G20" s="29"/>
      <x:c r="H20" s="29"/>
      <x:c r="I20" s="29"/>
      <x:c r="J20" s="29"/>
      <x:c r="K20" s="33"/>
      <x:c r="L20" s="33"/>
      <x:c r="M20" s="29"/>
      <x:c r="N20" s="29"/>
      <x:c r="O20" s="29"/>
      <x:c r="P20" s="29"/>
      <x:c r="Q20" s="29"/>
      <x:c r="R20" s="33"/>
      <x:c r="S20" s="33"/>
      <x:c r="T20" s="29"/>
      <x:c r="U20" s="29"/>
      <x:c r="V20" s="29"/>
      <x:c r="W20" s="29"/>
      <x:c r="X20" s="31"/>
      <x:c r="Y20" s="33"/>
      <x:c r="Z20" s="33"/>
      <x:c r="AA20" s="29"/>
      <x:c r="AB20" s="29"/>
      <x:c r="AC20" s="29"/>
      <x:c r="AD20" s="29"/>
      <x:c r="AE20" s="29"/>
      <x:c r="AF20" s="33"/>
      <x:c r="AG20" s="33"/>
      <x:c r="AH20" s="29"/>
    </x:row>
    <x:row r="21" ht="32" customHeight="1">
      <x:c r="A21" s="38" t="str">
        <x:v>I36.2</x:v>
      </x:c>
      <x:c r="B21" s="45" t="str">
        <x:v>S05 접근제어·캐나다 통신 경로 검증</x:v>
      </x:c>
      <x:c r="C21" s="46" t="str">
        <x:v>M5 유은혜</x:v>
      </x:c>
      <x:c r="D21" s="51" t="n">
        <x:v>46332</x:v>
      </x:c>
      <x:c r="E21" s="48" t="str">
        <x:v>미확인</x:v>
      </x:c>
      <x:c r="F21" s="29"/>
      <x:c r="G21" s="29"/>
      <x:c r="H21" s="29"/>
      <x:c r="I21" s="29"/>
      <x:c r="J21" s="29"/>
      <x:c r="K21" s="33"/>
      <x:c r="L21" s="33"/>
      <x:c r="M21" s="29"/>
      <x:c r="N21" s="29"/>
      <x:c r="O21" s="29"/>
      <x:c r="P21" s="29"/>
      <x:c r="Q21" s="29"/>
      <x:c r="R21" s="33"/>
      <x:c r="S21" s="33"/>
      <x:c r="T21" s="29"/>
      <x:c r="U21" s="29"/>
      <x:c r="V21" s="29"/>
      <x:c r="W21" s="29"/>
      <x:c r="X21" s="31"/>
      <x:c r="Y21" s="33"/>
      <x:c r="Z21" s="33"/>
      <x:c r="AA21" s="29"/>
      <x:c r="AB21" s="29"/>
      <x:c r="AC21" s="29"/>
      <x:c r="AD21" s="29"/>
      <x:c r="AE21" s="29"/>
      <x:c r="AF21" s="33"/>
      <x:c r="AG21" s="33"/>
      <x:c r="AH21" s="29"/>
    </x:row>
    <x:row r="22" ht="32" customHeight="1">
      <x:c r="A22" s="21" t="str">
        <x:v>D8</x:v>
      </x:c>
      <x:c r="B22" s="43" t="str">
        <x:v>앱 회귀 테스트·배포 롤백 검증</x:v>
      </x:c>
      <x:c r="C22" s="44" t="str">
        <x:v>M5 유은혜</x:v>
      </x:c>
      <x:c r="D22" s="50" t="n">
        <x:v>46336</x:v>
      </x:c>
      <x:c r="E22" s="49" t="str">
        <x:v>미확인</x:v>
      </x:c>
      <x:c r="F22" s="29"/>
      <x:c r="G22" s="29"/>
      <x:c r="H22" s="29"/>
      <x:c r="I22" s="29"/>
      <x:c r="J22" s="29"/>
      <x:c r="K22" s="33"/>
      <x:c r="L22" s="33"/>
      <x:c r="M22" s="29"/>
      <x:c r="N22" s="29"/>
      <x:c r="O22" s="29"/>
      <x:c r="P22" s="29"/>
      <x:c r="Q22" s="29"/>
      <x:c r="R22" s="33"/>
      <x:c r="S22" s="33"/>
      <x:c r="T22" s="29"/>
      <x:c r="U22" s="29"/>
      <x:c r="V22" s="29"/>
      <x:c r="W22" s="29"/>
      <x:c r="X22" s="29"/>
      <x:c r="Y22" s="33"/>
      <x:c r="Z22" s="33"/>
      <x:c r="AA22" s="31"/>
      <x:c r="AB22" s="31"/>
      <x:c r="AC22" s="29"/>
      <x:c r="AD22" s="29"/>
      <x:c r="AE22" s="29"/>
      <x:c r="AF22" s="33"/>
      <x:c r="AG22" s="33"/>
      <x:c r="AH22" s="29"/>
    </x:row>
    <x:row r="23" ht="32" customHeight="1">
      <x:c r="A23" s="38" t="str">
        <x:v>I17</x:v>
      </x:c>
      <x:c r="B23" s="45" t="str">
        <x:v>S01 재공격·정상 동작 검증</x:v>
      </x:c>
      <x:c r="C23" s="46" t="str">
        <x:v>M1 유용수</x:v>
      </x:c>
      <x:c r="D23" s="51" t="n">
        <x:v>46336</x:v>
      </x:c>
      <x:c r="E23" s="48" t="str">
        <x:v>미확인</x:v>
      </x:c>
      <x:c r="F23" s="29"/>
      <x:c r="G23" s="29"/>
      <x:c r="H23" s="29"/>
      <x:c r="I23" s="29"/>
      <x:c r="J23" s="29"/>
      <x:c r="K23" s="33"/>
      <x:c r="L23" s="33"/>
      <x:c r="M23" s="29"/>
      <x:c r="N23" s="29"/>
      <x:c r="O23" s="29"/>
      <x:c r="P23" s="29"/>
      <x:c r="Q23" s="29"/>
      <x:c r="R23" s="33"/>
      <x:c r="S23" s="33"/>
      <x:c r="T23" s="29"/>
      <x:c r="U23" s="29"/>
      <x:c r="V23" s="29"/>
      <x:c r="W23" s="29"/>
      <x:c r="X23" s="29"/>
      <x:c r="Y23" s="33"/>
      <x:c r="Z23" s="33"/>
      <x:c r="AA23" s="31"/>
      <x:c r="AB23" s="31"/>
      <x:c r="AC23" s="29"/>
      <x:c r="AD23" s="29"/>
      <x:c r="AE23" s="29"/>
      <x:c r="AF23" s="33"/>
      <x:c r="AG23" s="33"/>
      <x:c r="AH23" s="29"/>
    </x:row>
    <x:row r="24" ht="32" customHeight="1">
      <x:c r="A24" s="21" t="str">
        <x:v>I22</x:v>
      </x:c>
      <x:c r="B24" s="43" t="str">
        <x:v>S02 재공격·정상 동작 검증</x:v>
      </x:c>
      <x:c r="C24" s="44" t="str">
        <x:v>M2 윤서영</x:v>
      </x:c>
      <x:c r="D24" s="50" t="n">
        <x:v>46336</x:v>
      </x:c>
      <x:c r="E24" s="49" t="str">
        <x:v>미확인</x:v>
      </x:c>
      <x:c r="F24" s="29"/>
      <x:c r="G24" s="29"/>
      <x:c r="H24" s="29"/>
      <x:c r="I24" s="29"/>
      <x:c r="J24" s="29"/>
      <x:c r="K24" s="33"/>
      <x:c r="L24" s="33"/>
      <x:c r="M24" s="29"/>
      <x:c r="N24" s="29"/>
      <x:c r="O24" s="29"/>
      <x:c r="P24" s="29"/>
      <x:c r="Q24" s="29"/>
      <x:c r="R24" s="33"/>
      <x:c r="S24" s="33"/>
      <x:c r="T24" s="29"/>
      <x:c r="U24" s="29"/>
      <x:c r="V24" s="29"/>
      <x:c r="W24" s="29"/>
      <x:c r="X24" s="29"/>
      <x:c r="Y24" s="33"/>
      <x:c r="Z24" s="33"/>
      <x:c r="AA24" s="31"/>
      <x:c r="AB24" s="31"/>
      <x:c r="AC24" s="29"/>
      <x:c r="AD24" s="29"/>
      <x:c r="AE24" s="29"/>
      <x:c r="AF24" s="33"/>
      <x:c r="AG24" s="33"/>
      <x:c r="AH24" s="29"/>
    </x:row>
    <x:row r="25" ht="32" customHeight="1">
      <x:c r="A25" s="38" t="str">
        <x:v>I27</x:v>
      </x:c>
      <x:c r="B25" s="45" t="str">
        <x:v>S03 재공격·정상 동작 검증</x:v>
      </x:c>
      <x:c r="C25" s="46" t="str">
        <x:v>M3 홍은서</x:v>
      </x:c>
      <x:c r="D25" s="51" t="n">
        <x:v>46336</x:v>
      </x:c>
      <x:c r="E25" s="48" t="str">
        <x:v>미확인</x:v>
      </x:c>
      <x:c r="F25" s="29"/>
      <x:c r="G25" s="29"/>
      <x:c r="H25" s="29"/>
      <x:c r="I25" s="29"/>
      <x:c r="J25" s="29"/>
      <x:c r="K25" s="33"/>
      <x:c r="L25" s="33"/>
      <x:c r="M25" s="29"/>
      <x:c r="N25" s="29"/>
      <x:c r="O25" s="29"/>
      <x:c r="P25" s="29"/>
      <x:c r="Q25" s="29"/>
      <x:c r="R25" s="33"/>
      <x:c r="S25" s="33"/>
      <x:c r="T25" s="29"/>
      <x:c r="U25" s="29"/>
      <x:c r="V25" s="29"/>
      <x:c r="W25" s="29"/>
      <x:c r="X25" s="29"/>
      <x:c r="Y25" s="33"/>
      <x:c r="Z25" s="33"/>
      <x:c r="AA25" s="31"/>
      <x:c r="AB25" s="31"/>
      <x:c r="AC25" s="29"/>
      <x:c r="AD25" s="29"/>
      <x:c r="AE25" s="29"/>
      <x:c r="AF25" s="33"/>
      <x:c r="AG25" s="33"/>
      <x:c r="AH25" s="29"/>
    </x:row>
    <x:row r="26" ht="32" customHeight="1">
      <x:c r="A26" s="21" t="str">
        <x:v>I32</x:v>
      </x:c>
      <x:c r="B26" s="43" t="str">
        <x:v>S04 재공격·정상 동작 검증</x:v>
      </x:c>
      <x:c r="C26" s="44" t="str">
        <x:v>M4 박진혁</x:v>
      </x:c>
      <x:c r="D26" s="50" t="n">
        <x:v>46336</x:v>
      </x:c>
      <x:c r="E26" s="49" t="str">
        <x:v>미확인</x:v>
      </x:c>
      <x:c r="F26" s="29"/>
      <x:c r="G26" s="29"/>
      <x:c r="H26" s="29"/>
      <x:c r="I26" s="29"/>
      <x:c r="J26" s="29"/>
      <x:c r="K26" s="33"/>
      <x:c r="L26" s="33"/>
      <x:c r="M26" s="29"/>
      <x:c r="N26" s="29"/>
      <x:c r="O26" s="29"/>
      <x:c r="P26" s="29"/>
      <x:c r="Q26" s="29"/>
      <x:c r="R26" s="33"/>
      <x:c r="S26" s="33"/>
      <x:c r="T26" s="29"/>
      <x:c r="U26" s="29"/>
      <x:c r="V26" s="29"/>
      <x:c r="W26" s="29"/>
      <x:c r="X26" s="29"/>
      <x:c r="Y26" s="33"/>
      <x:c r="Z26" s="33"/>
      <x:c r="AA26" s="31"/>
      <x:c r="AB26" s="31"/>
      <x:c r="AC26" s="29"/>
      <x:c r="AD26" s="29"/>
      <x:c r="AE26" s="29"/>
      <x:c r="AF26" s="33"/>
      <x:c r="AG26" s="33"/>
      <x:c r="AH26" s="29"/>
    </x:row>
    <x:row r="27" ht="32" customHeight="1">
      <x:c r="A27" s="38" t="str">
        <x:v>I37</x:v>
      </x:c>
      <x:c r="B27" s="45" t="str">
        <x:v>S05 재공격·정상 동작 검증</x:v>
      </x:c>
      <x:c r="C27" s="46" t="str">
        <x:v>M5 유은혜</x:v>
      </x:c>
      <x:c r="D27" s="51" t="n">
        <x:v>46336</x:v>
      </x:c>
      <x:c r="E27" s="48" t="str">
        <x:v>미확인</x:v>
      </x:c>
      <x:c r="F27" s="29"/>
      <x:c r="G27" s="29"/>
      <x:c r="H27" s="29"/>
      <x:c r="I27" s="29"/>
      <x:c r="J27" s="29"/>
      <x:c r="K27" s="33"/>
      <x:c r="L27" s="33"/>
      <x:c r="M27" s="29"/>
      <x:c r="N27" s="29"/>
      <x:c r="O27" s="29"/>
      <x:c r="P27" s="29"/>
      <x:c r="Q27" s="29"/>
      <x:c r="R27" s="33"/>
      <x:c r="S27" s="33"/>
      <x:c r="T27" s="29"/>
      <x:c r="U27" s="29"/>
      <x:c r="V27" s="29"/>
      <x:c r="W27" s="29"/>
      <x:c r="X27" s="29"/>
      <x:c r="Y27" s="33"/>
      <x:c r="Z27" s="33"/>
      <x:c r="AA27" s="31"/>
      <x:c r="AB27" s="31"/>
      <x:c r="AC27" s="29"/>
      <x:c r="AD27" s="29"/>
      <x:c r="AE27" s="29"/>
      <x:c r="AF27" s="33"/>
      <x:c r="AG27" s="33"/>
      <x:c r="AH27" s="29"/>
    </x:row>
    <x:row r="28" ht="32" customHeight="1">
      <x:c r="A28" s="21" t="str">
        <x:v>C10.5</x:v>
      </x:c>
      <x:c r="B28" s="43" t="str">
        <x:v>DB 복제·백업·복원 재검증</x:v>
      </x:c>
      <x:c r="C28" s="44" t="str">
        <x:v>M4 박진혁</x:v>
      </x:c>
      <x:c r="D28" s="50" t="n">
        <x:v>46336</x:v>
      </x:c>
      <x:c r="E28" s="49" t="str">
        <x:v>미확인</x:v>
      </x:c>
      <x:c r="F28" s="29"/>
      <x:c r="G28" s="29"/>
      <x:c r="H28" s="29"/>
      <x:c r="I28" s="29"/>
      <x:c r="J28" s="29"/>
      <x:c r="K28" s="33"/>
      <x:c r="L28" s="33"/>
      <x:c r="M28" s="29"/>
      <x:c r="N28" s="29"/>
      <x:c r="O28" s="29"/>
      <x:c r="P28" s="29"/>
      <x:c r="Q28" s="29"/>
      <x:c r="R28" s="33"/>
      <x:c r="S28" s="33"/>
      <x:c r="T28" s="29"/>
      <x:c r="U28" s="29"/>
      <x:c r="V28" s="29"/>
      <x:c r="W28" s="29"/>
      <x:c r="X28" s="29"/>
      <x:c r="Y28" s="33"/>
      <x:c r="Z28" s="33"/>
      <x:c r="AA28" s="31"/>
      <x:c r="AB28" s="31"/>
      <x:c r="AC28" s="29"/>
      <x:c r="AD28" s="29"/>
      <x:c r="AE28" s="29"/>
      <x:c r="AF28" s="33"/>
      <x:c r="AG28" s="33"/>
      <x:c r="AH28" s="29"/>
    </x:row>
    <x:row r="29" ht="32" customHeight="1">
      <x:c r="A29" s="38" t="str">
        <x:v>C11.2</x:v>
      </x:c>
      <x:c r="B29" s="45" t="str">
        <x:v>앱·노드·VIP 장애 복구 테스트</x:v>
      </x:c>
      <x:c r="C29" s="46" t="str">
        <x:v>M3 홍은서</x:v>
      </x:c>
      <x:c r="D29" s="51" t="n">
        <x:v>46336</x:v>
      </x:c>
      <x:c r="E29" s="48" t="str">
        <x:v>미확인</x:v>
      </x:c>
      <x:c r="F29" s="29"/>
      <x:c r="G29" s="29"/>
      <x:c r="H29" s="29"/>
      <x:c r="I29" s="29"/>
      <x:c r="J29" s="29"/>
      <x:c r="K29" s="33"/>
      <x:c r="L29" s="33"/>
      <x:c r="M29" s="29"/>
      <x:c r="N29" s="29"/>
      <x:c r="O29" s="29"/>
      <x:c r="P29" s="29"/>
      <x:c r="Q29" s="29"/>
      <x:c r="R29" s="33"/>
      <x:c r="S29" s="33"/>
      <x:c r="T29" s="29"/>
      <x:c r="U29" s="29"/>
      <x:c r="V29" s="29"/>
      <x:c r="W29" s="29"/>
      <x:c r="X29" s="31"/>
      <x:c r="Y29" s="31"/>
      <x:c r="Z29" s="31"/>
      <x:c r="AA29" s="31"/>
      <x:c r="AB29" s="31"/>
      <x:c r="AC29" s="29"/>
      <x:c r="AD29" s="29"/>
      <x:c r="AE29" s="29"/>
      <x:c r="AF29" s="33"/>
      <x:c r="AG29" s="33"/>
      <x:c r="AH29" s="29"/>
    </x:row>
    <x:row r="30" ht="32" customHeight="1">
      <x:c r="A30" s="21" t="str">
        <x:v>C12.3</x:v>
      </x:c>
      <x:c r="B30" s="43" t="str">
        <x:v>RDS 격리 복원 검증·임시 자원 정리</x:v>
      </x:c>
      <x:c r="C30" s="44" t="str">
        <x:v>M5 유은혜</x:v>
      </x:c>
      <x:c r="D30" s="50" t="n">
        <x:v>46336</x:v>
      </x:c>
      <x:c r="E30" s="49" t="str">
        <x:v>미확인</x:v>
      </x:c>
      <x:c r="F30" s="29"/>
      <x:c r="G30" s="29"/>
      <x:c r="H30" s="29"/>
      <x:c r="I30" s="29"/>
      <x:c r="J30" s="29"/>
      <x:c r="K30" s="33"/>
      <x:c r="L30" s="33"/>
      <x:c r="M30" s="29"/>
      <x:c r="N30" s="29"/>
      <x:c r="O30" s="29"/>
      <x:c r="P30" s="29"/>
      <x:c r="Q30" s="29"/>
      <x:c r="R30" s="33"/>
      <x:c r="S30" s="33"/>
      <x:c r="T30" s="29"/>
      <x:c r="U30" s="29"/>
      <x:c r="V30" s="29"/>
      <x:c r="W30" s="29"/>
      <x:c r="X30" s="29"/>
      <x:c r="Y30" s="33"/>
      <x:c r="Z30" s="33"/>
      <x:c r="AA30" s="31"/>
      <x:c r="AB30" s="31"/>
      <x:c r="AC30" s="29"/>
      <x:c r="AD30" s="29"/>
      <x:c r="AE30" s="29"/>
      <x:c r="AF30" s="33"/>
      <x:c r="AG30" s="33"/>
      <x:c r="AH30" s="29"/>
    </x:row>
    <x:row r="31" ht="32" customHeight="1">
      <x:c r="A31" s="38" t="str">
        <x:v>I18</x:v>
      </x:c>
      <x:c r="B31" s="45" t="str">
        <x:v>M1 결과·발표자료 정리</x:v>
      </x:c>
      <x:c r="C31" s="46" t="str">
        <x:v>M1 유용수</x:v>
      </x:c>
      <x:c r="D31" s="51" t="n">
        <x:v>46338</x:v>
      </x:c>
      <x:c r="E31" s="48" t="str">
        <x:v>미확인</x:v>
      </x:c>
      <x:c r="F31" s="29"/>
      <x:c r="G31" s="29"/>
      <x:c r="H31" s="29"/>
      <x:c r="I31" s="29"/>
      <x:c r="J31" s="29"/>
      <x:c r="K31" s="33"/>
      <x:c r="L31" s="33"/>
      <x:c r="M31" s="29"/>
      <x:c r="N31" s="29"/>
      <x:c r="O31" s="29"/>
      <x:c r="P31" s="29"/>
      <x:c r="Q31" s="29"/>
      <x:c r="R31" s="33"/>
      <x:c r="S31" s="33"/>
      <x:c r="T31" s="29"/>
      <x:c r="U31" s="29"/>
      <x:c r="V31" s="29"/>
      <x:c r="W31" s="29"/>
      <x:c r="X31" s="29"/>
      <x:c r="Y31" s="33"/>
      <x:c r="Z31" s="33"/>
      <x:c r="AA31" s="29"/>
      <x:c r="AB31" s="29"/>
      <x:c r="AC31" s="31"/>
      <x:c r="AD31" s="31"/>
      <x:c r="AE31" s="29"/>
      <x:c r="AF31" s="33"/>
      <x:c r="AG31" s="33"/>
      <x:c r="AH31" s="29"/>
    </x:row>
    <x:row r="32" ht="32" customHeight="1">
      <x:c r="A32" s="21" t="str">
        <x:v>I23</x:v>
      </x:c>
      <x:c r="B32" s="43" t="str">
        <x:v>M2 결과·발표자료 정리</x:v>
      </x:c>
      <x:c r="C32" s="44" t="str">
        <x:v>M2 윤서영</x:v>
      </x:c>
      <x:c r="D32" s="50" t="n">
        <x:v>46338</x:v>
      </x:c>
      <x:c r="E32" s="49" t="str">
        <x:v>미확인</x:v>
      </x:c>
      <x:c r="F32" s="29"/>
      <x:c r="G32" s="29"/>
      <x:c r="H32" s="29"/>
      <x:c r="I32" s="29"/>
      <x:c r="J32" s="29"/>
      <x:c r="K32" s="33"/>
      <x:c r="L32" s="33"/>
      <x:c r="M32" s="29"/>
      <x:c r="N32" s="29"/>
      <x:c r="O32" s="29"/>
      <x:c r="P32" s="29"/>
      <x:c r="Q32" s="29"/>
      <x:c r="R32" s="33"/>
      <x:c r="S32" s="33"/>
      <x:c r="T32" s="29"/>
      <x:c r="U32" s="29"/>
      <x:c r="V32" s="29"/>
      <x:c r="W32" s="29"/>
      <x:c r="X32" s="29"/>
      <x:c r="Y32" s="33"/>
      <x:c r="Z32" s="33"/>
      <x:c r="AA32" s="29"/>
      <x:c r="AB32" s="29"/>
      <x:c r="AC32" s="31"/>
      <x:c r="AD32" s="31"/>
      <x:c r="AE32" s="29"/>
      <x:c r="AF32" s="33"/>
      <x:c r="AG32" s="33"/>
      <x:c r="AH32" s="29"/>
    </x:row>
    <x:row r="33" ht="32" customHeight="1">
      <x:c r="A33" s="38" t="str">
        <x:v>I28</x:v>
      </x:c>
      <x:c r="B33" s="45" t="str">
        <x:v>M3 결과·발표자료 정리</x:v>
      </x:c>
      <x:c r="C33" s="46" t="str">
        <x:v>M3 홍은서</x:v>
      </x:c>
      <x:c r="D33" s="51" t="n">
        <x:v>46338</x:v>
      </x:c>
      <x:c r="E33" s="48" t="str">
        <x:v>미확인</x:v>
      </x:c>
      <x:c r="F33" s="29"/>
      <x:c r="G33" s="29"/>
      <x:c r="H33" s="29"/>
      <x:c r="I33" s="29"/>
      <x:c r="J33" s="29"/>
      <x:c r="K33" s="33"/>
      <x:c r="L33" s="33"/>
      <x:c r="M33" s="29"/>
      <x:c r="N33" s="29"/>
      <x:c r="O33" s="29"/>
      <x:c r="P33" s="29"/>
      <x:c r="Q33" s="29"/>
      <x:c r="R33" s="33"/>
      <x:c r="S33" s="33"/>
      <x:c r="T33" s="29"/>
      <x:c r="U33" s="29"/>
      <x:c r="V33" s="29"/>
      <x:c r="W33" s="29"/>
      <x:c r="X33" s="29"/>
      <x:c r="Y33" s="33"/>
      <x:c r="Z33" s="33"/>
      <x:c r="AA33" s="29"/>
      <x:c r="AB33" s="29"/>
      <x:c r="AC33" s="31"/>
      <x:c r="AD33" s="31"/>
      <x:c r="AE33" s="29"/>
      <x:c r="AF33" s="33"/>
      <x:c r="AG33" s="33"/>
      <x:c r="AH33" s="29"/>
    </x:row>
    <x:row r="34" ht="32" customHeight="1">
      <x:c r="A34" s="21" t="str">
        <x:v>I33</x:v>
      </x:c>
      <x:c r="B34" s="43" t="str">
        <x:v>M4 결과·발표자료 정리</x:v>
      </x:c>
      <x:c r="C34" s="44" t="str">
        <x:v>M4 박진혁</x:v>
      </x:c>
      <x:c r="D34" s="50" t="n">
        <x:v>46338</x:v>
      </x:c>
      <x:c r="E34" s="49" t="str">
        <x:v>미확인</x:v>
      </x:c>
      <x:c r="F34" s="29"/>
      <x:c r="G34" s="29"/>
      <x:c r="H34" s="29"/>
      <x:c r="I34" s="29"/>
      <x:c r="J34" s="29"/>
      <x:c r="K34" s="33"/>
      <x:c r="L34" s="33"/>
      <x:c r="M34" s="29"/>
      <x:c r="N34" s="29"/>
      <x:c r="O34" s="29"/>
      <x:c r="P34" s="29"/>
      <x:c r="Q34" s="29"/>
      <x:c r="R34" s="33"/>
      <x:c r="S34" s="33"/>
      <x:c r="T34" s="29"/>
      <x:c r="U34" s="29"/>
      <x:c r="V34" s="29"/>
      <x:c r="W34" s="29"/>
      <x:c r="X34" s="29"/>
      <x:c r="Y34" s="33"/>
      <x:c r="Z34" s="33"/>
      <x:c r="AA34" s="29"/>
      <x:c r="AB34" s="29"/>
      <x:c r="AC34" s="31"/>
      <x:c r="AD34" s="31"/>
      <x:c r="AE34" s="29"/>
      <x:c r="AF34" s="33"/>
      <x:c r="AG34" s="33"/>
      <x:c r="AH34" s="29"/>
    </x:row>
    <x:row r="35" ht="32" customHeight="1">
      <x:c r="A35" s="38" t="str">
        <x:v>I38</x:v>
      </x:c>
      <x:c r="B35" s="45" t="str">
        <x:v>M5 결과·발표자료 정리</x:v>
      </x:c>
      <x:c r="C35" s="46" t="str">
        <x:v>M5 유은혜</x:v>
      </x:c>
      <x:c r="D35" s="51" t="n">
        <x:v>46338</x:v>
      </x:c>
      <x:c r="E35" s="48" t="str">
        <x:v>미확인</x:v>
      </x:c>
      <x:c r="F35" s="29"/>
      <x:c r="G35" s="29"/>
      <x:c r="H35" s="29"/>
      <x:c r="I35" s="29"/>
      <x:c r="J35" s="29"/>
      <x:c r="K35" s="33"/>
      <x:c r="L35" s="33"/>
      <x:c r="M35" s="29"/>
      <x:c r="N35" s="29"/>
      <x:c r="O35" s="29"/>
      <x:c r="P35" s="29"/>
      <x:c r="Q35" s="29"/>
      <x:c r="R35" s="33"/>
      <x:c r="S35" s="33"/>
      <x:c r="T35" s="29"/>
      <x:c r="U35" s="29"/>
      <x:c r="V35" s="29"/>
      <x:c r="W35" s="29"/>
      <x:c r="X35" s="29"/>
      <x:c r="Y35" s="33"/>
      <x:c r="Z35" s="33"/>
      <x:c r="AA35" s="29"/>
      <x:c r="AB35" s="29"/>
      <x:c r="AC35" s="31"/>
      <x:c r="AD35" s="31"/>
      <x:c r="AE35" s="29"/>
      <x:c r="AF35" s="33"/>
      <x:c r="AG35" s="33"/>
      <x:c r="AH35" s="29"/>
    </x:row>
    <x:row r="36" ht="32" customHeight="1">
      <x:c r="A36" s="21" t="str">
        <x:v>C13.1</x:v>
      </x:c>
      <x:c r="B36" s="43" t="str">
        <x:v>최종 보고·발표자료 취합</x:v>
      </x:c>
      <x:c r="C36" s="44" t="str">
        <x:v>M5 유은혜</x:v>
      </x:c>
      <x:c r="D36" s="50" t="n">
        <x:v>46338</x:v>
      </x:c>
      <x:c r="E36" s="49" t="str">
        <x:v>미확인</x:v>
      </x:c>
      <x:c r="F36" s="29"/>
      <x:c r="G36" s="29"/>
      <x:c r="H36" s="29"/>
      <x:c r="I36" s="29"/>
      <x:c r="J36" s="29"/>
      <x:c r="K36" s="33"/>
      <x:c r="L36" s="33"/>
      <x:c r="M36" s="29"/>
      <x:c r="N36" s="29"/>
      <x:c r="O36" s="29"/>
      <x:c r="P36" s="29"/>
      <x:c r="Q36" s="29"/>
      <x:c r="R36" s="33"/>
      <x:c r="S36" s="33"/>
      <x:c r="T36" s="29"/>
      <x:c r="U36" s="29"/>
      <x:c r="V36" s="29"/>
      <x:c r="W36" s="29"/>
      <x:c r="X36" s="29"/>
      <x:c r="Y36" s="33"/>
      <x:c r="Z36" s="33"/>
      <x:c r="AA36" s="29"/>
      <x:c r="AB36" s="29"/>
      <x:c r="AC36" s="31"/>
      <x:c r="AD36" s="31"/>
      <x:c r="AE36" s="29"/>
      <x:c r="AF36" s="33"/>
      <x:c r="AG36" s="33"/>
      <x:c r="AH36" s="29"/>
    </x:row>
    <x:row r="37" ht="32" customHeight="1">
      <x:c r="A37" s="38" t="str">
        <x:v>C13.2</x:v>
      </x:c>
      <x:c r="B37" s="45" t="str">
        <x:v>전원 리허설·환경 복구 확인</x:v>
      </x:c>
      <x:c r="C37" s="46" t="str">
        <x:v>M5 유은혜</x:v>
      </x:c>
      <x:c r="D37" s="51" t="n">
        <x:v>46339</x:v>
      </x:c>
      <x:c r="E37" s="48" t="str">
        <x:v>미확인</x:v>
      </x:c>
      <x:c r="F37" s="29"/>
      <x:c r="G37" s="29"/>
      <x:c r="H37" s="29"/>
      <x:c r="I37" s="29"/>
      <x:c r="J37" s="29"/>
      <x:c r="K37" s="33"/>
      <x:c r="L37" s="33"/>
      <x:c r="M37" s="29"/>
      <x:c r="N37" s="29"/>
      <x:c r="O37" s="29"/>
      <x:c r="P37" s="29"/>
      <x:c r="Q37" s="29"/>
      <x:c r="R37" s="33"/>
      <x:c r="S37" s="33"/>
      <x:c r="T37" s="29"/>
      <x:c r="U37" s="29"/>
      <x:c r="V37" s="29"/>
      <x:c r="W37" s="29"/>
      <x:c r="X37" s="29"/>
      <x:c r="Y37" s="33"/>
      <x:c r="Z37" s="33"/>
      <x:c r="AA37" s="29"/>
      <x:c r="AB37" s="29"/>
      <x:c r="AC37" s="29"/>
      <x:c r="AD37" s="29"/>
      <x:c r="AE37" s="31"/>
      <x:c r="AF37" s="33"/>
      <x:c r="AG37" s="33"/>
      <x:c r="AH37" s="29"/>
    </x:row>
    <x:row r="38" ht="32" customHeight="1">
      <x:c r="A38" s="21" t="str">
        <x:v>C13.3</x:v>
      </x:c>
      <x:c r="B38" s="43" t="str">
        <x:v>파일·링크·대체 시연 점검</x:v>
      </x:c>
      <x:c r="C38" s="44" t="str">
        <x:v>M5 유은혜</x:v>
      </x:c>
      <x:c r="D38" s="50" t="n">
        <x:v>46340</x:v>
      </x:c>
      <x:c r="E38" s="49" t="str">
        <x:v>미확인</x:v>
      </x:c>
      <x:c r="F38" s="29"/>
      <x:c r="G38" s="29"/>
      <x:c r="H38" s="29"/>
      <x:c r="I38" s="29"/>
      <x:c r="J38" s="29"/>
      <x:c r="K38" s="33"/>
      <x:c r="L38" s="33"/>
      <x:c r="M38" s="29"/>
      <x:c r="N38" s="29"/>
      <x:c r="O38" s="29"/>
      <x:c r="P38" s="29"/>
      <x:c r="Q38" s="29"/>
      <x:c r="R38" s="33"/>
      <x:c r="S38" s="33"/>
      <x:c r="T38" s="29"/>
      <x:c r="U38" s="29"/>
      <x:c r="V38" s="29"/>
      <x:c r="W38" s="29"/>
      <x:c r="X38" s="29"/>
      <x:c r="Y38" s="33"/>
      <x:c r="Z38" s="33"/>
      <x:c r="AA38" s="29"/>
      <x:c r="AB38" s="29"/>
      <x:c r="AC38" s="29"/>
      <x:c r="AD38" s="29"/>
      <x:c r="AE38" s="29"/>
      <x:c r="AF38" s="31"/>
      <x:c r="AG38" s="33"/>
      <x:c r="AH38" s="29"/>
    </x:row>
    <x:row r="39" ht="32" customHeight="1">
      <x:c r="A39" s="38" t="str">
        <x:v>C13.4</x:v>
      </x:c>
      <x:c r="B39" s="45" t="str">
        <x:v>최종 발표·실습 자원 정리</x:v>
      </x:c>
      <x:c r="C39" s="46" t="str">
        <x:v>M5 유은혜</x:v>
      </x:c>
      <x:c r="D39" s="51" t="n">
        <x:v>46342</x:v>
      </x:c>
      <x:c r="E39" s="48" t="str">
        <x:v>미확인</x:v>
      </x:c>
      <x:c r="F39" s="29"/>
      <x:c r="G39" s="29"/>
      <x:c r="H39" s="29"/>
      <x:c r="I39" s="29"/>
      <x:c r="J39" s="29"/>
      <x:c r="K39" s="33"/>
      <x:c r="L39" s="33"/>
      <x:c r="M39" s="29"/>
      <x:c r="N39" s="29"/>
      <x:c r="O39" s="29"/>
      <x:c r="P39" s="29"/>
      <x:c r="Q39" s="29"/>
      <x:c r="R39" s="33"/>
      <x:c r="S39" s="33"/>
      <x:c r="T39" s="29"/>
      <x:c r="U39" s="29"/>
      <x:c r="V39" s="29"/>
      <x:c r="W39" s="29"/>
      <x:c r="X39" s="29"/>
      <x:c r="Y39" s="33"/>
      <x:c r="Z39" s="33"/>
      <x:c r="AA39" s="29"/>
      <x:c r="AB39" s="29"/>
      <x:c r="AC39" s="29"/>
      <x:c r="AD39" s="29"/>
      <x:c r="AE39" s="29"/>
      <x:c r="AF39" s="33"/>
      <x:c r="AG39" s="33"/>
      <x:c r="AH39" s="31"/>
    </x:row>
    <x:row r="40" ht="21" customHeight="1">
      <x:c r="A40" s="42" t="str">
        <x:v>10/26 개정 | 팀 결정: AS-IS 10/30·M3/M4 변경·도구 선정 보류 | 후속 날짜: PM 조정안 | 변경·인계 시트 참조</x:v>
      </x:c>
      <x:c r="B40" s="42"/>
      <x:c r="C40" s="42"/>
      <x:c r="D40" s="42"/>
      <x:c r="E40" s="42"/>
      <x:c r="F40" s="42"/>
      <x:c r="G40" s="42"/>
      <x:c r="H40" s="42"/>
      <x:c r="I40" s="42"/>
      <x:c r="J40" s="42"/>
      <x:c r="K40" s="42"/>
      <x:c r="L40" s="42"/>
      <x:c r="M40" s="42"/>
      <x:c r="N40" s="42"/>
      <x:c r="O40" s="42"/>
      <x:c r="P40" s="42"/>
      <x:c r="Q40" s="42"/>
      <x:c r="R40" s="42"/>
      <x:c r="S40" s="42"/>
      <x:c r="T40" s="42"/>
      <x:c r="U40" s="42"/>
      <x:c r="V40" s="42"/>
      <x:c r="W40" s="42"/>
      <x:c r="X40" s="42"/>
      <x:c r="Y40" s="42"/>
      <x:c r="Z40" s="42"/>
      <x:c r="AA40" s="42"/>
      <x:c r="AB40" s="42"/>
      <x:c r="AC40" s="42"/>
      <x:c r="AD40" s="42"/>
      <x:c r="AE40" s="42"/>
      <x:c r="AF40" s="42"/>
      <x:c r="AG40" s="42"/>
      <x:c r="AH40" s="42"/>
    </x:row>
  </x:sheetData>
  <x:mergeCells>
    <x:mergeCell ref="A1:AH1"/>
    <x:mergeCell ref="A2:AH2"/>
    <x:mergeCell ref="A3:AH3"/>
    <x:mergeCell ref="A4:E4"/>
    <x:mergeCell ref="F4:L4"/>
    <x:mergeCell ref="M4:S4"/>
    <x:mergeCell ref="T4:Z4"/>
    <x:mergeCell ref="AA4:AH4"/>
    <x:mergeCell ref="A40:AH40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xSplit="3" ySplit="5" topLeftCell="D6" activePane="bottomRight" state="frozen"/>
    </x:sheetView>
  </x:sheetViews>
  <x:sheetFormatPr defaultRowHeight="15"/>
  <x:cols>
    <x:col min="1" max="1" width="14" hidden="0" customWidth="1"/>
    <x:col min="2" max="2" width="13" hidden="0" customWidth="1"/>
    <x:col min="3" max="3" width="40" hidden="0" customWidth="1"/>
    <x:col min="4" max="4" width="19" hidden="0" customWidth="1"/>
    <x:col min="5" max="5" width="12" hidden="0" customWidth="1"/>
    <x:col min="6" max="6" width="12" hidden="0" customWidth="1"/>
    <x:col min="7" max="7" width="34" hidden="0" customWidth="1"/>
    <x:col min="8" max="8" width="55" hidden="0" customWidth="1"/>
    <x:col min="9" max="9" width="20" hidden="0" customWidth="1"/>
    <x:col min="10" max="10" width="10" hidden="0" customWidth="1"/>
    <x:col min="11" max="11" width="16" hidden="0" customWidth="1"/>
    <x:col min="12" max="12" width="60" hidden="0" customWidth="1"/>
  </x:cols>
  <x:sheetData>
    <x:row r="1">
      <x:c r="A1" s="67"/>
      <x:c r="B1" s="67"/>
      <x:c r="C1" s="67"/>
      <x:c r="D1" s="67"/>
      <x:c r="E1" s="67"/>
      <x:c r="F1" s="67"/>
      <x:c r="G1" s="67"/>
      <x:c r="H1" s="67"/>
      <x:c r="I1" s="67"/>
      <x:c r="J1" s="67"/>
      <x:c r="K1" s="67"/>
      <x:c r="L1" s="67"/>
    </x:row>
    <x:row r="2">
      <x:c r="A2" s="68" t="str">
        <x:v>상세실행 · 2026.10.26</x:v>
      </x:c>
      <x:c r="B2" s="67"/>
      <x:c r="C2" s="67"/>
      <x:c r="D2" s="67"/>
      <x:c r="E2" s="67"/>
      <x:c r="F2" s="67"/>
      <x:c r="G2" s="67"/>
      <x:c r="H2" s="67"/>
      <x:c r="I2" s="67"/>
      <x:c r="J2" s="67"/>
      <x:c r="K2" s="67"/>
      <x:c r="L2" s="67"/>
    </x:row>
    <x:row r="3">
      <x:c r="A3" s="67" t="str">
        <x:v>목표 일정과 실제 완료는 구분. 상세 주소·설정·증거는 팀 기술서에 기록.</x:v>
      </x:c>
      <x:c r="B3" s="67"/>
      <x:c r="C3" s="67"/>
      <x:c r="D3" s="67"/>
      <x:c r="E3" s="67"/>
      <x:c r="F3" s="67"/>
      <x:c r="G3" s="67"/>
      <x:c r="H3" s="67"/>
      <x:c r="I3" s="67"/>
      <x:c r="J3" s="67"/>
      <x:c r="K3" s="67"/>
      <x:c r="L3" s="67"/>
    </x:row>
    <x:row r="4">
      <x:c r="A4" s="67"/>
      <x:c r="B4" s="67"/>
      <x:c r="C4" s="67"/>
      <x:c r="D4" s="67"/>
      <x:c r="E4" s="67"/>
      <x:c r="F4" s="67"/>
      <x:c r="G4" s="67"/>
      <x:c r="H4" s="67"/>
      <x:c r="I4" s="67"/>
      <x:c r="J4" s="67"/>
      <x:c r="K4" s="67"/>
      <x:c r="L4" s="67"/>
    </x:row>
    <x:row r="5" ht="30" customHeight="1">
      <x:c r="A5" s="73" t="str">
        <x:v>실행 ID</x:v>
      </x:c>
      <x:c r="B5" s="73" t="str">
        <x:v>단계</x:v>
      </x:c>
      <x:c r="C5" s="73" t="str">
        <x:v>작업</x:v>
      </x:c>
      <x:c r="D5" s="73" t="str">
        <x:v>담당</x:v>
      </x:c>
      <x:c r="E5" s="73" t="str">
        <x:v>시작 목표</x:v>
      </x:c>
      <x:c r="F5" s="73" t="str">
        <x:v>종료 목표</x:v>
      </x:c>
      <x:c r="G5" s="73" t="str">
        <x:v>선행 작업</x:v>
      </x:c>
      <x:c r="H5" s="73" t="str">
        <x:v>완료를 확인할 결과</x:v>
      </x:c>
      <x:c r="I5" s="73" t="str">
        <x:v>인계 대상</x:v>
      </x:c>
      <x:c r="J5" s="73" t="str">
        <x:v>Issue</x:v>
      </x:c>
      <x:c r="K5" s="73" t="str">
        <x:v>현재 기준</x:v>
      </x:c>
      <x:c r="L5" s="73" t="str">
        <x:v>실행 시 확인</x:v>
      </x:c>
    </x:row>
    <x:row r="6" ht="70" customHeight="1">
      <x:c r="A6" s="76" t="str">
        <x:v>C01</x:v>
      </x:c>
      <x:c r="B6" s="76" t="str">
        <x:v>조정</x:v>
      </x:c>
      <x:c r="C6" s="74" t="str">
        <x:v>최신 토폴로지·실제 진척 대조</x:v>
      </x:c>
      <x:c r="D6" s="74" t="str">
        <x:v>PM·PL</x:v>
      </x:c>
      <x:c r="E6" s="75" t="n">
        <x:v>46321</x:v>
      </x:c>
      <x:c r="F6" s="75" t="n">
        <x:v>46322</x:v>
      </x:c>
      <x:c r="G6" s="74" t="str">
        <x:v>독립 착수</x:v>
      </x:c>
      <x:c r="H6" s="74" t="str">
        <x:v>망별 남은 작업·차단 요인 목록</x:v>
      </x:c>
      <x:c r="I6" s="74" t="str">
        <x:v>전원</x:v>
      </x:c>
      <x:c r="J6" s="74" t="str">
        <x:v>#6</x:v>
      </x:c>
      <x:c r="K6" s="74" t="str">
        <x:v>검토 작성</x:v>
      </x:c>
      <x:c r="L6" s="74" t="str">
        <x:v>10/26 회의 사용자 보고·GitHub PNG/Issue 대조. 실제 설치 검증은 담당 수행</x:v>
      </x:c>
    </x:row>
    <x:row r="7" ht="70" customHeight="1">
      <x:c r="A7" s="76" t="str">
        <x:v>C02</x:v>
      </x:c>
      <x:c r="B7" s="76" t="str">
        <x:v>조정</x:v>
      </x:c>
      <x:c r="C7" s="74" t="str">
        <x:v>M3 노드망 연결·M4 구간별 구축 순서 정리</x:v>
      </x:c>
      <x:c r="D7" s="74" t="str">
        <x:v>PL·M4</x:v>
      </x:c>
      <x:c r="E7" s="75" t="n">
        <x:v>46322</x:v>
      </x:c>
      <x:c r="F7" s="75" t="n">
        <x:v>46322</x:v>
      </x:c>
      <x:c r="G7" s="74" t="str">
        <x:v>C01</x:v>
      </x:c>
      <x:c r="H7" s="74" t="str">
        <x:v>M3 관리/노드 구간 연결표·M4 4구간 장비/연결표</x:v>
      </x:c>
      <x:c r="I7" s="74" t="str">
        <x:v>M1·M3·M4·M5</x:v>
      </x:c>
      <x:c r="J7" s="74" t="str">
        <x:v>#6</x:v>
      </x:c>
      <x:c r="K7" s="74" t="str">
        <x:v>미확인</x:v>
      </x:c>
      <x:c r="L7" s="74" t="str">
        <x:v>M4는 확정된 OPS/REPLICA/BACKUP/PROXY 설계로 AS-IS 구축. 기존 Issue의 Replica TO-BE 문구 수정</x:v>
      </x:c>
    </x:row>
    <x:row r="8" ht="70" customHeight="1">
      <x:c r="A8" s="76" t="str">
        <x:v>C03</x:v>
      </x:c>
      <x:c r="B8" s="76" t="str">
        <x:v>조정</x:v>
      </x:c>
      <x:c r="C8" s="74" t="str">
        <x:v>수신 정보·서비스별 인계표 공유</x:v>
      </x:c>
      <x:c r="D8" s="74" t="str">
        <x:v>전원</x:v>
      </x:c>
      <x:c r="E8" s="75" t="n">
        <x:v>46322</x:v>
      </x:c>
      <x:c r="F8" s="75" t="n">
        <x:v>46322</x:v>
      </x:c>
      <x:c r="G8" s="74" t="str">
        <x:v>C01</x:v>
      </x:c>
      <x:c r="H8" s="74" t="str">
        <x:v>호스트명·버전·포트·정상 URL·계정 전달 방법</x:v>
      </x:c>
      <x:c r="I8" s="74" t="str">
        <x:v>M5 및 각 배포 담당</x:v>
      </x:c>
      <x:c r="J8" s="74" t="str">
        <x:v>#7</x:v>
      </x:c>
      <x:c r="K8" s="74" t="str">
        <x:v>미확인</x:v>
      </x:c>
      <x:c r="L8" s="74" t="str">
        <x:v>상세 주소와 비밀값은 팀 기술서. 교실망/Pod/Service/AWS 중복 대조</x:v>
      </x:c>
    </x:row>
    <x:row r="9" ht="70" customHeight="1">
      <x:c r="A9" s="76" t="str">
        <x:v>C04</x:v>
      </x:c>
      <x:c r="B9" s="76" t="str">
        <x:v>AS-IS</x:v>
      </x:c>
      <x:c r="C9" s="74" t="str">
        <x:v>망 간 연결 대표 경로 공동 확인</x:v>
      </x:c>
      <x:c r="D9" s="74" t="str">
        <x:v>M1 주관·전원</x:v>
      </x:c>
      <x:c r="E9" s="75" t="n">
        <x:v>46323</x:v>
      </x:c>
      <x:c r="F9" s="75" t="n">
        <x:v>46324</x:v>
      </x:c>
      <x:c r="G9" s="74" t="str">
        <x:v>M1-A04, M2-A04, M3-A06, M4-A05, M5-A02</x:v>
      </x:c>
      <x:c r="H9" s="74" t="str">
        <x:v>M1–M3 라우팅·T12/T15·M3–M4 양단 결과</x:v>
      </x:c>
      <x:c r="I9" s="74" t="str">
        <x:v>공격 담당 전원</x:v>
      </x:c>
      <x:c r="J9" s="74" t="str">
        <x:v>#7</x:v>
      </x:c>
      <x:c r="K9" s="74" t="str">
        <x:v>미확인</x:v>
      </x:c>
      <x:c r="L9" s="74" t="str">
        <x:v>VPN Up과 서비스 성공을 분리. 상대 대기 중 독립 구축 계속</x:v>
      </x:c>
    </x:row>
    <x:row r="10" ht="70" customHeight="1">
      <x:c r="A10" s="76" t="str">
        <x:v>C05</x:v>
      </x:c>
      <x:c r="B10" s="76" t="str">
        <x:v>AS-IS</x:v>
      </x:c>
      <x:c r="C10" s="74" t="str">
        <x:v>AS-IS 인수 확인·설정 보존</x:v>
      </x:c>
      <x:c r="D10" s="74" t="str">
        <x:v>전원·PL</x:v>
      </x:c>
      <x:c r="E10" s="75" t="n">
        <x:v>46325</x:v>
      </x:c>
      <x:c r="F10" s="75" t="n">
        <x:v>46325</x:v>
      </x:c>
      <x:c r="G10" s="74" t="str">
        <x:v>M1-A18, M2-A18, M3-A13, M4-A18, M5-A06</x:v>
      </x:c>
      <x:c r="H10" s="74" t="str">
        <x:v>망별 성공/실패·근거·인계 상태·초기 스냅샷</x:v>
      </x:c>
      <x:c r="I10" s="74" t="str">
        <x:v>11/02 공격 담당</x:v>
      </x:c>
      <x:c r="J10" s="74" t="str">
        <x:v>#6</x:v>
      </x:c>
      <x:c r="K10" s="74" t="str">
        <x:v>미확인</x:v>
      </x:c>
      <x:c r="L10" s="74" t="str">
        <x:v>10/30은 팀 합의 마감. 실패 항목은 완료 처리하지 않고 범위/후속 영향 기록</x:v>
      </x:c>
    </x:row>
    <x:row r="11" ht="70" customHeight="1">
      <x:c r="A11" s="76" t="str">
        <x:v>C06</x:v>
      </x:c>
      <x:c r="B11" s="76" t="str">
        <x:v>관리</x:v>
      </x:c>
      <x:c r="C11" s="74" t="str">
        <x:v>일일 진척·차단 작업 조정</x:v>
      </x:c>
      <x:c r="D11" s="74" t="str">
        <x:v>PM·전원</x:v>
      </x:c>
      <x:c r="E11" s="75" t="n">
        <x:v>46322</x:v>
      </x:c>
      <x:c r="F11" s="75" t="n">
        <x:v>46336</x:v>
      </x:c>
      <x:c r="G11" s="74" t="str">
        <x:v>C01</x:v>
      </x:c>
      <x:c r="H11" s="74" t="str">
        <x:v>당일 한 일·근거·차단 상대·다음 공동 확인 시각</x:v>
      </x:c>
      <x:c r="I11" s="74" t="str">
        <x:v>전원</x:v>
      </x:c>
      <x:c r="J11" s="74" t="str">
        <x:v>#6</x:v>
      </x:c>
      <x:c r="K11" s="74" t="str">
        <x:v>미확인</x:v>
      </x:c>
      <x:c r="L11" s="74" t="str">
        <x:v>문서 길이보다 인계 가능 여부 우선. M5 PM 시간은 개발시간과 별도 확보</x:v>
      </x:c>
    </x:row>
    <x:row r="12" ht="70" customHeight="1">
      <x:c r="A12" s="76" t="str">
        <x:v>C07</x:v>
      </x:c>
      <x:c r="B12" s="76" t="str">
        <x:v>조정</x:v>
      </x:c>
      <x:c r="C12" s="74" t="str">
        <x:v>10/30 개발·AWS 범위 판정</x:v>
      </x:c>
      <x:c r="D12" s="74" t="str">
        <x:v>PM·PL·M5</x:v>
      </x:c>
      <x:c r="E12" s="75" t="n">
        <x:v>46325</x:v>
      </x:c>
      <x:c r="F12" s="75" t="n">
        <x:v>46325</x:v>
      </x:c>
      <x:c r="G12" s="74" t="str">
        <x:v>DEV06, M5-A07</x:v>
      </x:c>
      <x:c r="H12" s="74" t="str">
        <x:v>필수 유지·후속 목표·보류 기능·AWS 사용 가능 여부</x:v>
      </x:c>
      <x:c r="I12" s="74" t="str">
        <x:v>전원</x:v>
      </x:c>
      <x:c r="J12" s="74" t="str">
        <x:v>#8</x:v>
      </x:c>
      <x:c r="K12" s="74" t="str">
        <x:v>미확인</x:v>
      </x:c>
      <x:c r="L12" s="74" t="str">
        <x:v>실측 잔여 작업 시간로 11/06 이후 기능 추가 여부 결정</x:v>
      </x:c>
    </x:row>
    <x:row r="13" ht="70" customHeight="1">
      <x:c r="A13" s="77" t="str">
        <x:v>M1-A01</x:v>
      </x:c>
      <x:c r="B13" s="77" t="str">
        <x:v>AS-IS</x:v>
      </x:c>
      <x:c r="C13" s="74" t="str">
        <x:v>현행 장비·MAC·VMnet·포트 대조</x:v>
      </x:c>
      <x:c r="D13" s="74" t="str">
        <x:v>M1 유용수</x:v>
      </x:c>
      <x:c r="E13" s="75" t="n">
        <x:v>46322</x:v>
      </x:c>
      <x:c r="F13" s="75" t="n">
        <x:v>46322</x:v>
      </x:c>
      <x:c r="G13" s="74" t="str">
        <x:v>C01</x:v>
      </x:c>
      <x:c r="H13" s="74" t="str">
        <x:v>실제 포트 대응표 및 관리 접속</x:v>
      </x:c>
      <x:c r="I13" s="74" t="str">
        <x:v>M1</x:v>
      </x:c>
      <x:c r="J13" s="74" t="str">
        <x:v>#14</x:v>
      </x:c>
      <x:c r="K13" s="74" t="str">
        <x:v>미확인</x:v>
      </x:c>
      <x:c r="L13" s="74" t="str">
        <x:v>기존 UTM 설치·관리 접속 보고 보존</x:v>
      </x:c>
    </x:row>
    <x:row r="14" ht="70" customHeight="1">
      <x:c r="A14" s="77" t="str">
        <x:v>M1-A02</x:v>
      </x:c>
      <x:c r="B14" s="77" t="str">
        <x:v>AS-IS</x:v>
      </x:c>
      <x:c r="C14" s="74" t="str">
        <x:v>R4–UTM 외부 도달성 복구</x:v>
      </x:c>
      <x:c r="D14" s="74" t="str">
        <x:v>M1 유용수</x:v>
      </x:c>
      <x:c r="E14" s="75" t="n">
        <x:v>46322</x:v>
      </x:c>
      <x:c r="F14" s="75" t="n">
        <x:v>46322</x:v>
      </x:c>
      <x:c r="G14" s="74" t="str">
        <x:v>M1-A01</x:v>
      </x:c>
      <x:c r="H14" s="74" t="str">
        <x:v>외부 상대에서 VPN 종단 도달·반환 경로</x:v>
      </x:c>
      <x:c r="I14" s="74" t="str">
        <x:v>M5·M2</x:v>
      </x:c>
      <x:c r="J14" s="74" t="str">
        <x:v>#14</x:v>
      </x:c>
      <x:c r="K14" s="74" t="str">
        <x:v>미확인</x:v>
      </x:c>
      <x:c r="L14" s="74" t="str">
        <x:v>M5의 종단 미도달 보고 해소가 VPN 선행</x:v>
      </x:c>
    </x:row>
    <x:row r="15" ht="70" customHeight="1">
      <x:c r="A15" s="77" t="str">
        <x:v>M1-A03</x:v>
      </x:c>
      <x:c r="B15" s="77" t="str">
        <x:v>AS-IS</x:v>
      </x:c>
      <x:c r="C15" s="74" t="str">
        <x:v>L3 SVI·Trunk·Access 설정 대조</x:v>
      </x:c>
      <x:c r="D15" s="74" t="str">
        <x:v>M1 유용수</x:v>
      </x:c>
      <x:c r="E15" s="75" t="n">
        <x:v>46322</x:v>
      </x:c>
      <x:c r="F15" s="75" t="n">
        <x:v>46322</x:v>
      </x:c>
      <x:c r="G15" s="74" t="str">
        <x:v>M1-A01</x:v>
      </x:c>
      <x:c r="H15" s="74" t="str">
        <x:v>부서별 VLAN·SVI·단말 포트 일치</x:v>
      </x:c>
      <x:c r="I15" s="74" t="str">
        <x:v>M1</x:v>
      </x:c>
      <x:c r="J15" s="74" t="str">
        <x:v>#14</x:v>
      </x:c>
      <x:c r="K15" s="74" t="str">
        <x:v>미확인</x:v>
      </x:c>
      <x:c r="L15" s="74" t="str">
        <x:v>130/131/132/150. VMnet과 VLAN 번호 구분</x:v>
      </x:c>
    </x:row>
    <x:row r="16" ht="70" customHeight="1">
      <x:c r="A16" s="77" t="str">
        <x:v>M1-A04</x:v>
      </x:c>
      <x:c r="B16" s="77" t="str">
        <x:v>AS-IS</x:v>
      </x:c>
      <x:c r="C16" s="74" t="str">
        <x:v>UTM–L3 왕복 경로·NAT 예외 확인</x:v>
      </x:c>
      <x:c r="D16" s="74" t="str">
        <x:v>M1 유용수</x:v>
      </x:c>
      <x:c r="E16" s="75" t="n">
        <x:v>46322</x:v>
      </x:c>
      <x:c r="F16" s="75" t="n">
        <x:v>46323</x:v>
      </x:c>
      <x:c r="G16" s="74" t="str">
        <x:v>M1-A02, M1-A03</x:v>
      </x:c>
      <x:c r="H16" s="74" t="str">
        <x:v>L3 기본 경로·UTM 부서 반환 경로·출발지 보존</x:v>
      </x:c>
      <x:c r="I16" s="74" t="str">
        <x:v>M2·M3·M5</x:v>
      </x:c>
      <x:c r="J16" s="74" t="str">
        <x:v>#14</x:v>
      </x:c>
      <x:c r="K16" s="74" t="str">
        <x:v>미확인</x:v>
      </x:c>
      <x:c r="L16" s="74" t="str">
        <x:v>같은 L3에서 라우팅되는 VLAN 간 트래픽은 UTM을 안 거칠 수 있음</x:v>
      </x:c>
    </x:row>
    <x:row r="17" ht="70" customHeight="1">
      <x:c r="A17" s="77" t="str">
        <x:v>M1-A05</x:v>
      </x:c>
      <x:c r="B17" s="77" t="str">
        <x:v>AS-IS</x:v>
      </x:c>
      <x:c r="C17" s="74" t="str">
        <x:v>부서별 DHCP Relay·임대 갱신 확인</x:v>
      </x:c>
      <x:c r="D17" s="74" t="str">
        <x:v>M1 유용수</x:v>
      </x:c>
      <x:c r="E17" s="75" t="n">
        <x:v>46322</x:v>
      </x:c>
      <x:c r="F17" s="75" t="n">
        <x:v>46323</x:v>
      </x:c>
      <x:c r="G17" s="74" t="str">
        <x:v>M1-A03</x:v>
      </x:c>
      <x:c r="H17" s="74" t="str">
        <x:v>직원 6대의 주소/GW/DNS 및 임대 결과</x:v>
      </x:c>
      <x:c r="I17" s="74" t="str">
        <x:v>M1</x:v>
      </x:c>
      <x:c r="J17" s="74" t="str">
        <x:v>#14</x:v>
      </x:c>
      <x:c r="K17" s="74" t="str">
        <x:v>미확인</x:v>
      </x:c>
      <x:c r="L17" s="74" t="str">
        <x:v>마케팅·공통망 10/25 성공 보고. 나머지 부서 개별 확인</x:v>
      </x:c>
    </x:row>
    <x:row r="18" ht="70" customHeight="1">
      <x:c r="A18" s="77" t="str">
        <x:v>M1-A06</x:v>
      </x:c>
      <x:c r="B18" s="77" t="str">
        <x:v>AS-IS</x:v>
      </x:c>
      <x:c r="C18" s="74" t="str">
        <x:v>고정 주소·DHCP 범위 충돌 점검</x:v>
      </x:c>
      <x:c r="D18" s="74" t="str">
        <x:v>M1 유용수</x:v>
      </x:c>
      <x:c r="E18" s="75" t="n">
        <x:v>46323</x:v>
      </x:c>
      <x:c r="F18" s="75" t="n">
        <x:v>46323</x:v>
      </x:c>
      <x:c r="G18" s="74" t="str">
        <x:v>M1-A05</x:v>
      </x:c>
      <x:c r="H18" s="74" t="str">
        <x:v>예약/제외 범위와 관리 PC 중복 조치 결과</x:v>
      </x:c>
      <x:c r="I18" s="74" t="str">
        <x:v>M1</x:v>
      </x:c>
      <x:c r="J18" s="74" t="str">
        <x:v>#14</x:v>
      </x:c>
      <x:c r="K18" s="74" t="str">
        <x:v>미확인</x:v>
      </x:c>
      <x:c r="L18" s="74" t="str">
        <x:v>토폴로지 고정 .100과 DHCP 할당 보고 차이 대조</x:v>
      </x:c>
    </x:row>
    <x:row r="19" ht="70" customHeight="1">
      <x:c r="A19" s="77" t="str">
        <x:v>M1-A07</x:v>
      </x:c>
      <x:c r="B19" s="77" t="str">
        <x:v>AS-IS</x:v>
      </x:c>
      <x:c r="C19" s="74" t="str">
        <x:v>내부 DNS 구성·직원 조회 확인</x:v>
      </x:c>
      <x:c r="D19" s="74" t="str">
        <x:v>M1 유용수</x:v>
      </x:c>
      <x:c r="E19" s="75" t="n">
        <x:v>46323</x:v>
      </x:c>
      <x:c r="F19" s="75" t="n">
        <x:v>46323</x:v>
      </x:c>
      <x:c r="G19" s="74" t="str">
        <x:v>M1-A04</x:v>
      </x:c>
      <x:c r="H19" s="74" t="str">
        <x:v>직원 PC에서 게시판 이름 조회</x:v>
      </x:c>
      <x:c r="I19" s="74" t="str">
        <x:v>M2·M5</x:v>
      </x:c>
      <x:c r="J19" s="74" t="str">
        <x:v>#14</x:v>
      </x:c>
      <x:c r="K19" s="74" t="str">
        <x:v>미확인</x:v>
      </x:c>
      <x:c r="L19" s="74" t="str">
        <x:v>DNS 서버 주소 배포와 레코드 조회를 분리</x:v>
      </x:c>
    </x:row>
    <x:row r="20" ht="70" customHeight="1">
      <x:c r="A20" s="77" t="str">
        <x:v>M1-A08</x:v>
      </x:c>
      <x:c r="B20" s="77" t="str">
        <x:v>AS-IS</x:v>
      </x:c>
      <x:c r="C20" s="74" t="str">
        <x:v>Samba·SFTP 정상 파일 이용 확인</x:v>
      </x:c>
      <x:c r="D20" s="74" t="str">
        <x:v>M1 유용수</x:v>
      </x:c>
      <x:c r="E20" s="75" t="n">
        <x:v>46323</x:v>
      </x:c>
      <x:c r="F20" s="75" t="n">
        <x:v>46323</x:v>
      </x:c>
      <x:c r="G20" s="74" t="str">
        <x:v>M1-A05</x:v>
      </x:c>
      <x:c r="H20" s="74" t="str">
        <x:v>승인 계정 읽기/쓰기 정책별 실제 결과</x:v>
      </x:c>
      <x:c r="I20" s="74" t="str">
        <x:v>M1</x:v>
      </x:c>
      <x:c r="J20" s="74" t="str">
        <x:v>#14</x:v>
      </x:c>
      <x:c r="K20" s="74" t="str">
        <x:v>미확인</x:v>
      </x:c>
      <x:c r="L20" s="74" t="str">
        <x:v>Samba 읽기 전용 기존 성공 보고는 재설치하지 않음</x:v>
      </x:c>
    </x:row>
    <x:row r="21" ht="70" customHeight="1">
      <x:c r="A21" s="77" t="str">
        <x:v>M1-A09</x:v>
      </x:c>
      <x:c r="B21" s="77" t="str">
        <x:v>AS-IS</x:v>
      </x:c>
      <x:c r="C21" s="74" t="str">
        <x:v>Log·Backup·NFS 기본 기능 확인</x:v>
      </x:c>
      <x:c r="D21" s="74" t="str">
        <x:v>M1 유용수</x:v>
      </x:c>
      <x:c r="E21" s="75" t="n">
        <x:v>46323</x:v>
      </x:c>
      <x:c r="F21" s="75" t="n">
        <x:v>46324</x:v>
      </x:c>
      <x:c r="G21" s="74" t="str">
        <x:v>M1-A04</x:v>
      </x:c>
      <x:c r="H21" s="74" t="str">
        <x:v>로컬 로그 수집·시험 파일 백업/복원·NFS 이용</x:v>
      </x:c>
      <x:c r="I21" s="74" t="str">
        <x:v>M1</x:v>
      </x:c>
      <x:c r="J21" s="74" t="str">
        <x:v>#14</x:v>
      </x:c>
      <x:c r="K21" s="74" t="str">
        <x:v>미확인</x:v>
      </x:c>
      <x:c r="L21" s="74" t="str">
        <x:v>기존 10대 서버 구성 유지. M4 DR와 본사 로컬 백업 구분</x:v>
      </x:c>
    </x:row>
    <x:row r="22" ht="70" customHeight="1">
      <x:c r="A22" s="77" t="str">
        <x:v>M1-A10</x:v>
      </x:c>
      <x:c r="B22" s="77" t="str">
        <x:v>AS-IS</x:v>
      </x:c>
      <x:c r="C22" s="74" t="str">
        <x:v>WEB·WAS·DB 실행 환경 준비</x:v>
      </x:c>
      <x:c r="D22" s="74" t="str">
        <x:v>M1 유용수</x:v>
      </x:c>
      <x:c r="E22" s="75" t="n">
        <x:v>46323</x:v>
      </x:c>
      <x:c r="F22" s="75" t="n">
        <x:v>46323</x:v>
      </x:c>
      <x:c r="G22" s="74" t="str">
        <x:v>M1-A04</x:v>
      </x:c>
      <x:c r="H22" s="74" t="str">
        <x:v>런타임·전용 DB/계정·WEB 역방향 프록시 대상</x:v>
      </x:c>
      <x:c r="I22" s="74" t="str">
        <x:v>M5</x:v>
      </x:c>
      <x:c r="J22" s="74" t="str">
        <x:v>#14</x:v>
      </x:c>
      <x:c r="K22" s="74" t="str">
        <x:v>미확인</x:v>
      </x:c>
      <x:c r="L22" s="74" t="str">
        <x:v>코드 개발은 M5. M1은 설치·DB·운영 환경 담당</x:v>
      </x:c>
    </x:row>
    <x:row r="23" ht="70" customHeight="1">
      <x:c r="A23" s="77" t="str">
        <x:v>M1-A11</x:v>
      </x:c>
      <x:c r="B23" s="77" t="str">
        <x:v>AS-IS</x:v>
      </x:c>
      <x:c r="C23" s="74" t="str">
        <x:v>임시 응답으로 WEB–WAS–DB 경로 확인</x:v>
      </x:c>
      <x:c r="D23" s="74" t="str">
        <x:v>M1 유용수</x:v>
      </x:c>
      <x:c r="E23" s="75" t="n">
        <x:v>46323</x:v>
      </x:c>
      <x:c r="F23" s="75" t="n">
        <x:v>46324</x:v>
      </x:c>
      <x:c r="G23" s="74" t="str">
        <x:v>M1-A07, M1-A10</x:v>
      </x:c>
      <x:c r="H23" s="74" t="str">
        <x:v>각 홉 응답과 DB 시험 조회</x:v>
      </x:c>
      <x:c r="I23" s="74" t="str">
        <x:v>M5</x:v>
      </x:c>
      <x:c r="J23" s="74" t="str">
        <x:v>#14</x:v>
      </x:c>
      <x:c r="K23" s="74" t="str">
        <x:v>미확인</x:v>
      </x:c>
      <x:c r="L23" s="74" t="str">
        <x:v>실제 게시판 완성으로 표시하지 않음</x:v>
      </x:c>
    </x:row>
    <x:row r="24" ht="70" customHeight="1">
      <x:c r="A24" s="77" t="str">
        <x:v>M1-A12</x:v>
      </x:c>
      <x:c r="B24" s="77" t="str">
        <x:v>AS-IS</x:v>
      </x:c>
      <x:c r="C24" s="74" t="str">
        <x:v>T12 독일 VPN 양단 구성·왕복 검증</x:v>
      </x:c>
      <x:c r="D24" s="74" t="str">
        <x:v>M1 유용수</x:v>
      </x:c>
      <x:c r="E24" s="75" t="n">
        <x:v>46323</x:v>
      </x:c>
      <x:c r="F24" s="75" t="n">
        <x:v>46324</x:v>
      </x:c>
      <x:c r="G24" s="74" t="str">
        <x:v>M1-A02, M2-A04</x:v>
      </x:c>
      <x:c r="H24" s="74" t="str">
        <x:v>독일↔본사 승인 DNS/업무 왕복</x:v>
      </x:c>
      <x:c r="I24" s="74" t="str">
        <x:v>M2</x:v>
      </x:c>
      <x:c r="J24" s="74" t="str">
        <x:v>#14</x:v>
      </x:c>
      <x:c r="K24" s="74" t="str">
        <x:v>미확인</x:v>
      </x:c>
      <x:c r="L24" s="74" t="str">
        <x:v>종단·selector·NAT 예외·반환 정책 공동 대조</x:v>
      </x:c>
    </x:row>
    <x:row r="25" ht="70" customHeight="1">
      <x:c r="A25" s="77" t="str">
        <x:v>M1-A13</x:v>
      </x:c>
      <x:c r="B25" s="77" t="str">
        <x:v>AS-IS</x:v>
      </x:c>
      <x:c r="C25" s="74" t="str">
        <x:v>T15 캐나다 VPN 양단 구성·왕복 검증</x:v>
      </x:c>
      <x:c r="D25" s="74" t="str">
        <x:v>M1 유용수</x:v>
      </x:c>
      <x:c r="E25" s="75" t="n">
        <x:v>46323</x:v>
      </x:c>
      <x:c r="F25" s="75" t="n">
        <x:v>46324</x:v>
      </x:c>
      <x:c r="G25" s="74" t="str">
        <x:v>M1-A02, M5-A02</x:v>
      </x:c>
      <x:c r="H25" s="74" t="str">
        <x:v>캐나다↔본사 승인 업무·원 출발지 보존</x:v>
      </x:c>
      <x:c r="I25" s="74" t="str">
        <x:v>M5</x:v>
      </x:c>
      <x:c r="J25" s="74" t="str">
        <x:v>#14</x:v>
      </x:c>
      <x:c r="K25" s="74" t="str">
        <x:v>미확인</x:v>
      </x:c>
      <x:c r="L25" s="74" t="str">
        <x:v>비밀값은 별도 전달. 구성 성공과 서비스 성공 구분</x:v>
      </x:c>
    </x:row>
    <x:row r="26" ht="70" customHeight="1">
      <x:c r="A26" s="77" t="str">
        <x:v>M1-A14</x:v>
      </x:c>
      <x:c r="B26" s="77" t="str">
        <x:v>AS-IS</x:v>
      </x:c>
      <x:c r="C26" s="74" t="str">
        <x:v>M3 일반 라우팅·승인 관리 경로 확인</x:v>
      </x:c>
      <x:c r="D26" s="74" t="str">
        <x:v>M1 유용수</x:v>
      </x:c>
      <x:c r="E26" s="75" t="n">
        <x:v>46324</x:v>
      </x:c>
      <x:c r="F26" s="75" t="n">
        <x:v>46324</x:v>
      </x:c>
      <x:c r="G26" s="74" t="str">
        <x:v>M1-A04, M3-A06</x:v>
      </x:c>
      <x:c r="H26" s="74" t="str">
        <x:v>관리 PC→K8s/ESXi, 직원 시험 출발지 구분</x:v>
      </x:c>
      <x:c r="I26" s="74" t="str">
        <x:v>M3</x:v>
      </x:c>
      <x:c r="J26" s="74" t="str">
        <x:v>#14</x:v>
      </x:c>
      <x:c r="K26" s="74" t="str">
        <x:v>미확인</x:v>
      </x:c>
      <x:c r="L26" s="74" t="str">
        <x:v>본사–서비스 VPN으로 변경하지 않음</x:v>
      </x:c>
    </x:row>
    <x:row r="27" ht="70" customHeight="1">
      <x:c r="A27" s="77" t="str">
        <x:v>M1-A15</x:v>
      </x:c>
      <x:c r="B27" s="77" t="str">
        <x:v>AS-IS</x:v>
      </x:c>
      <x:c r="C27" s="74" t="str">
        <x:v>S05 중계 경로 공동 확인</x:v>
      </x:c>
      <x:c r="D27" s="74" t="str">
        <x:v>M1 유용수</x:v>
      </x:c>
      <x:c r="E27" s="75" t="n">
        <x:v>46324</x:v>
      </x:c>
      <x:c r="F27" s="75" t="n">
        <x:v>46325</x:v>
      </x:c>
      <x:c r="G27" s="74" t="str">
        <x:v>M1-A13, M1-A14, M3-A10</x:v>
      </x:c>
      <x:c r="H27" s="74" t="str">
        <x:v>M5→T15→M1→M3 Test DB 왕복</x:v>
      </x:c>
      <x:c r="I27" s="74" t="str">
        <x:v>M3·M5</x:v>
      </x:c>
      <x:c r="J27" s="74" t="str">
        <x:v>#14</x:v>
      </x:c>
      <x:c r="K27" s="74" t="str">
        <x:v>미확인</x:v>
      </x:c>
      <x:c r="L27" s="74" t="str">
        <x:v>허용된 격리 시험만. 운영 DB/RDS 제외</x:v>
      </x:c>
    </x:row>
    <x:row r="28" ht="70" customHeight="1">
      <x:c r="A28" s="77" t="str">
        <x:v>M1-A16</x:v>
      </x:c>
      <x:c r="B28" s="77" t="str">
        <x:v>AS-IS</x:v>
      </x:c>
      <x:c r="C28" s="74" t="str">
        <x:v>인계받은 게시판 배포</x:v>
      </x:c>
      <x:c r="D28" s="74" t="str">
        <x:v>M1 유용수</x:v>
      </x:c>
      <x:c r="E28" s="75" t="n">
        <x:v>46324</x:v>
      </x:c>
      <x:c r="F28" s="75" t="n">
        <x:v>46325</x:v>
      </x:c>
      <x:c r="G28" s="74" t="str">
        <x:v>M1-A11, DEV03</x:v>
      </x:c>
      <x:c r="H28" s="74" t="str">
        <x:v>M1 실제 환경의 로그인·게시글·DB 저장</x:v>
      </x:c>
      <x:c r="I28" s="74" t="str">
        <x:v>M5·M2</x:v>
      </x:c>
      <x:c r="J28" s="74" t="str">
        <x:v>#14</x:v>
      </x:c>
      <x:c r="K28" s="74" t="str">
        <x:v>미확인</x:v>
      </x:c>
      <x:c r="L28" s="74" t="str">
        <x:v>한국 설정 적용. 앱 수정 요청은 재현 로그로 M5 인계</x:v>
      </x:c>
    </x:row>
    <x:row r="29" ht="70" customHeight="1">
      <x:c r="A29" s="77" t="str">
        <x:v>M1-A17</x:v>
      </x:c>
      <x:c r="B29" s="77" t="str">
        <x:v>AS-IS</x:v>
      </x:c>
      <x:c r="C29" s="74" t="str">
        <x:v>S01·S02 비교용 기준 상태 보존</x:v>
      </x:c>
      <x:c r="D29" s="74" t="str">
        <x:v>M1 유용수</x:v>
      </x:c>
      <x:c r="E29" s="75" t="n">
        <x:v>46325</x:v>
      </x:c>
      <x:c r="F29" s="75" t="n">
        <x:v>46325</x:v>
      </x:c>
      <x:c r="G29" s="74" t="str">
        <x:v>M1-A10</x:v>
      </x:c>
      <x:c r="H29" s="74" t="str">
        <x:v>직원→WAS SSH 및 승인 관리자 조건·원본 로그</x:v>
      </x:c>
      <x:c r="I29" s="74" t="str">
        <x:v>M2</x:v>
      </x:c>
      <x:c r="J29" s="74" t="str">
        <x:v>#14</x:v>
      </x:c>
      <x:c r="K29" s="74" t="str">
        <x:v>미확인</x:v>
      </x:c>
      <x:c r="L29" s="74" t="str">
        <x:v>계정·OS·시험 횟수 비교표. 공격 실행은 11/02</x:v>
      </x:c>
    </x:row>
    <x:row r="30" ht="70" customHeight="1">
      <x:c r="A30" s="77" t="str">
        <x:v>M1-A18</x:v>
      </x:c>
      <x:c r="B30" s="77" t="str">
        <x:v>AS-IS</x:v>
      </x:c>
      <x:c r="C30" s="74" t="str">
        <x:v>본사 AS-IS 결과·설정 백업 인계</x:v>
      </x:c>
      <x:c r="D30" s="74" t="str">
        <x:v>M1 유용수</x:v>
      </x:c>
      <x:c r="E30" s="75" t="n">
        <x:v>46325</x:v>
      </x:c>
      <x:c r="F30" s="75" t="n">
        <x:v>46325</x:v>
      </x:c>
      <x:c r="G30" s="74" t="str">
        <x:v>M1-A06, M1-A08, M1-A09, M1-A12, M1-A14, M1-A16, M1-A17</x:v>
      </x:c>
      <x:c r="H30" s="74" t="str">
        <x:v>부서별 업무·정상 관리·잔여 장애·설정 백업</x:v>
      </x:c>
      <x:c r="I30" s="74" t="str">
        <x:v>PL·PM</x:v>
      </x:c>
      <x:c r="J30" s="74" t="str">
        <x:v>#14</x:v>
      </x:c>
      <x:c r="K30" s="74" t="str">
        <x:v>미확인</x:v>
      </x:c>
      <x:c r="L30" s="74" t="str">
        <x:v>대표 PC 하나의 성공을 전체 부서 완료로 처리하지 않음</x:v>
      </x:c>
    </x:row>
    <x:row r="31" ht="70" customHeight="1">
      <x:c r="A31" s="78" t="str">
        <x:v>M2-A01</x:v>
      </x:c>
      <x:c r="B31" s="78" t="str">
        <x:v>AS-IS</x:v>
      </x:c>
      <x:c r="C31" s="74" t="str">
        <x:v>GNS3·UTM·관리 PC 기존 구성 대조</x:v>
      </x:c>
      <x:c r="D31" s="74" t="str">
        <x:v>M2 윤서영</x:v>
      </x:c>
      <x:c r="E31" s="75" t="n">
        <x:v>46322</x:v>
      </x:c>
      <x:c r="F31" s="75" t="n">
        <x:v>46322</x:v>
      </x:c>
      <x:c r="G31" s="74" t="str">
        <x:v>C01</x:v>
      </x:c>
      <x:c r="H31" s="74" t="str">
        <x:v>실제 장비/포트 표와 관리자 접속</x:v>
      </x:c>
      <x:c r="I31" s="74" t="str">
        <x:v>M2</x:v>
      </x:c>
      <x:c r="J31" s="74" t="str">
        <x:v>#19</x:v>
      </x:c>
      <x:c r="K31" s="74" t="str">
        <x:v>미확인</x:v>
      </x:c>
      <x:c r="L31" s="74" t="str">
        <x:v>10/23 ADMIN·방화벽/NAT 성공 보고 보존. R1 표기와 도면 R2 대조</x:v>
      </x:c>
    </x:row>
    <x:row r="32" ht="70" customHeight="1">
      <x:c r="A32" s="78" t="str">
        <x:v>M2-A02</x:v>
      </x:c>
      <x:c r="B32" s="78" t="str">
        <x:v>AS-IS</x:v>
      </x:c>
      <x:c r="C32" s="74" t="str">
        <x:v>독일 L3 장비 기능·직원/공통 VLAN 생성</x:v>
      </x:c>
      <x:c r="D32" s="74" t="str">
        <x:v>M2 윤서영</x:v>
      </x:c>
      <x:c r="E32" s="75" t="n">
        <x:v>46322</x:v>
      </x:c>
      <x:c r="F32" s="75" t="n">
        <x:v>46322</x:v>
      </x:c>
      <x:c r="G32" s="74" t="str">
        <x:v>M2-A01</x:v>
      </x:c>
      <x:c r="H32" s="74" t="str">
        <x:v>현재 AS-IS VLAN10/20/30/50 및 포트표</x:v>
      </x:c>
      <x:c r="I32" s="74" t="str">
        <x:v>M2</x:v>
      </x:c>
      <x:c r="J32" s="74" t="str">
        <x:v>#19</x:v>
      </x:c>
      <x:c r="K32" s="74" t="str">
        <x:v>미확인</x:v>
      </x:c>
      <x:c r="L32" s="74" t="str">
        <x:v>파일 내부 TO-BE VLAN230대와 섞지 않음</x:v>
      </x:c>
    </x:row>
    <x:row r="33" ht="70" customHeight="1">
      <x:c r="A33" s="78" t="str">
        <x:v>M2-A03</x:v>
      </x:c>
      <x:c r="B33" s="78" t="str">
        <x:v>AS-IS</x:v>
      </x:c>
      <x:c r="C33" s="74" t="str">
        <x:v>SVI·Trunk·Access·DHCP Relay 설정</x:v>
      </x:c>
      <x:c r="D33" s="74" t="str">
        <x:v>M2 윤서영</x:v>
      </x:c>
      <x:c r="E33" s="75" t="n">
        <x:v>46322</x:v>
      </x:c>
      <x:c r="F33" s="75" t="n">
        <x:v>46323</x:v>
      </x:c>
      <x:c r="G33" s="74" t="str">
        <x:v>M2-A02</x:v>
      </x:c>
      <x:c r="H33" s="74" t="str">
        <x:v>부서 GW·태그·릴레이 대상 일치</x:v>
      </x:c>
      <x:c r="I33" s="74" t="str">
        <x:v>M2</x:v>
      </x:c>
      <x:c r="J33" s="74" t="str">
        <x:v>#19</x:v>
      </x:c>
      <x:c r="K33" s="74" t="str">
        <x:v>미확인</x:v>
      </x:c>
      <x:c r="L33" s="74" t="str">
        <x:v>직원/공통망은 L3 라우팅. UTM trunk안과 혼용 금지</x:v>
      </x:c>
    </x:row>
    <x:row r="34" ht="70" customHeight="1">
      <x:c r="A34" s="78" t="str">
        <x:v>M2-A04</x:v>
      </x:c>
      <x:c r="B34" s="78" t="str">
        <x:v>AS-IS</x:v>
      </x:c>
      <x:c r="C34" s="74" t="str">
        <x:v>L3–UTM 연결·기본/반환 경로 확인</x:v>
      </x:c>
      <x:c r="D34" s="74" t="str">
        <x:v>M2 윤서영</x:v>
      </x:c>
      <x:c r="E34" s="75" t="n">
        <x:v>46323</x:v>
      </x:c>
      <x:c r="F34" s="75" t="n">
        <x:v>46323</x:v>
      </x:c>
      <x:c r="G34" s="74" t="str">
        <x:v>M2-A03</x:v>
      </x:c>
      <x:c r="H34" s="74" t="str">
        <x:v>관리·DMZ·SERVER·직원망 왕복</x:v>
      </x:c>
      <x:c r="I34" s="74" t="str">
        <x:v>M1</x:v>
      </x:c>
      <x:c r="J34" s="74" t="str">
        <x:v>#19</x:v>
      </x:c>
      <x:c r="K34" s="74" t="str">
        <x:v>미확인</x:v>
      </x:c>
      <x:c r="L34" s="74" t="str">
        <x:v>현재 AS-IS 전송 구간 기준. UTM 직접 연결 구간과 분리</x:v>
      </x:c>
    </x:row>
    <x:row r="35" ht="70" customHeight="1">
      <x:c r="A35" s="78" t="str">
        <x:v>M2-A05</x:v>
      </x:c>
      <x:c r="B35" s="78" t="str">
        <x:v>AS-IS</x:v>
      </x:c>
      <x:c r="C35" s="74" t="str">
        <x:v>DHCP scope·제외 범위·옵션 구성</x:v>
      </x:c>
      <x:c r="D35" s="74" t="str">
        <x:v>M2 윤서영</x:v>
      </x:c>
      <x:c r="E35" s="75" t="n">
        <x:v>46323</x:v>
      </x:c>
      <x:c r="F35" s="75" t="n">
        <x:v>46323</x:v>
      </x:c>
      <x:c r="G35" s="74" t="str">
        <x:v>M2-A03</x:v>
      </x:c>
      <x:c r="H35" s="74" t="str">
        <x:v>부서별 독립 임대·GW/DNS 옵션</x:v>
      </x:c>
      <x:c r="I35" s="74" t="str">
        <x:v>M2</x:v>
      </x:c>
      <x:c r="J35" s="74" t="str">
        <x:v>#19</x:v>
      </x:c>
      <x:c r="K35" s="74" t="str">
        <x:v>미확인</x:v>
      </x:c>
      <x:c r="L35" s="74" t="str">
        <x:v>다른 망 DHCP 수신 방지</x:v>
      </x:c>
    </x:row>
    <x:row r="36" ht="70" customHeight="1">
      <x:c r="A36" s="78" t="str">
        <x:v>M2-A06</x:v>
      </x:c>
      <x:c r="B36" s="78" t="str">
        <x:v>AS-IS</x:v>
      </x:c>
      <x:c r="C36" s="74" t="str">
        <x:v>직원 PC 6대 임대·VLAN별 통신 확인</x:v>
      </x:c>
      <x:c r="D36" s="74" t="str">
        <x:v>M2 윤서영</x:v>
      </x:c>
      <x:c r="E36" s="75" t="n">
        <x:v>46323</x:v>
      </x:c>
      <x:c r="F36" s="75" t="n">
        <x:v>46323</x:v>
      </x:c>
      <x:c r="G36" s="74" t="str">
        <x:v>M2-A04, M2-A05</x:v>
      </x:c>
      <x:c r="H36" s="74" t="str">
        <x:v>각 부서 2대의 임대/게이트웨이/원격 요청</x:v>
      </x:c>
      <x:c r="I36" s="74" t="str">
        <x:v>M2</x:v>
      </x:c>
      <x:c r="J36" s="74" t="str">
        <x:v>#19</x:v>
      </x:c>
      <x:c r="K36" s="74" t="str">
        <x:v>미확인</x:v>
      </x:c>
      <x:c r="L36" s="74" t="str">
        <x:v>한 부서 성공으로 전체 완료 판정 금지</x:v>
      </x:c>
    </x:row>
    <x:row r="37" ht="70" customHeight="1">
      <x:c r="A37" s="78" t="str">
        <x:v>M2-A07</x:v>
      </x:c>
      <x:c r="B37" s="78" t="str">
        <x:v>AS-IS</x:v>
      </x:c>
      <x:c r="C37" s="74" t="str">
        <x:v>독일 DNS 레코드·직원 조회 구성</x:v>
      </x:c>
      <x:c r="D37" s="74" t="str">
        <x:v>M2 윤서영</x:v>
      </x:c>
      <x:c r="E37" s="75" t="n">
        <x:v>46323</x:v>
      </x:c>
      <x:c r="F37" s="75" t="n">
        <x:v>46323</x:v>
      </x:c>
      <x:c r="G37" s="74" t="str">
        <x:v>M2-A04</x:v>
      </x:c>
      <x:c r="H37" s="74" t="str">
        <x:v>독일 게시판 이름→독일 WEB 응답</x:v>
      </x:c>
      <x:c r="I37" s="74" t="str">
        <x:v>M5</x:v>
      </x:c>
      <x:c r="J37" s="74" t="str">
        <x:v>#19</x:v>
      </x:c>
      <x:c r="K37" s="74" t="str">
        <x:v>미확인</x:v>
      </x:c>
      <x:c r="L37" s="74" t="str">
        <x:v>한국 게시판 설정/DB와 분리</x:v>
      </x:c>
    </x:row>
    <x:row r="38" ht="70" customHeight="1">
      <x:c r="A38" s="78" t="str">
        <x:v>M2-A08</x:v>
      </x:c>
      <x:c r="B38" s="78" t="str">
        <x:v>AS-IS</x:v>
      </x:c>
      <x:c r="C38" s="74" t="str">
        <x:v>Samba·SFTP 계정·기본 이용 확인</x:v>
      </x:c>
      <x:c r="D38" s="74" t="str">
        <x:v>M2 윤서영</x:v>
      </x:c>
      <x:c r="E38" s="75" t="n">
        <x:v>46323</x:v>
      </x:c>
      <x:c r="F38" s="75" t="n">
        <x:v>46324</x:v>
      </x:c>
      <x:c r="G38" s="74" t="str">
        <x:v>M2-A06</x:v>
      </x:c>
      <x:c r="H38" s="74" t="str">
        <x:v>승인된 시험 파일 이용·거부 결과</x:v>
      </x:c>
      <x:c r="I38" s="74" t="str">
        <x:v>M2</x:v>
      </x:c>
      <x:c r="J38" s="74" t="str">
        <x:v>#19</x:v>
      </x:c>
      <x:c r="K38" s="74" t="str">
        <x:v>미확인</x:v>
      </x:c>
      <x:c r="L38" s="74" t="str">
        <x:v>도면의 기존 업무 서버 유지</x:v>
      </x:c>
    </x:row>
    <x:row r="39" ht="70" customHeight="1">
      <x:c r="A39" s="78" t="str">
        <x:v>M2-A09</x:v>
      </x:c>
      <x:c r="B39" s="78" t="str">
        <x:v>AS-IS</x:v>
      </x:c>
      <x:c r="C39" s="74" t="str">
        <x:v>Log·Backup·NFS 기본 기능 확인</x:v>
      </x:c>
      <x:c r="D39" s="74" t="str">
        <x:v>M2 윤서영</x:v>
      </x:c>
      <x:c r="E39" s="75" t="n">
        <x:v>46323</x:v>
      </x:c>
      <x:c r="F39" s="75" t="n">
        <x:v>46324</x:v>
      </x:c>
      <x:c r="G39" s="74" t="str">
        <x:v>M2-A04</x:v>
      </x:c>
      <x:c r="H39" s="74" t="str">
        <x:v>원본 로그 위치·시험 파일 백업/복원·NFS 이용</x:v>
      </x:c>
      <x:c r="I39" s="74" t="str">
        <x:v>M2</x:v>
      </x:c>
      <x:c r="J39" s="74" t="str">
        <x:v>#19</x:v>
      </x:c>
      <x:c r="K39" s="74" t="str">
        <x:v>미확인</x:v>
      </x:c>
      <x:c r="L39" s="74" t="str">
        <x:v>Wazuh 설치 완료와 구분</x:v>
      </x:c>
    </x:row>
    <x:row r="40" ht="70" customHeight="1">
      <x:c r="A40" s="78" t="str">
        <x:v>M2-A10</x:v>
      </x:c>
      <x:c r="B40" s="78" t="str">
        <x:v>AS-IS</x:v>
      </x:c>
      <x:c r="C40" s="74" t="str">
        <x:v>WEB·WAS·DB 설치·국가별 설정 준비</x:v>
      </x:c>
      <x:c r="D40" s="74" t="str">
        <x:v>M2 윤서영</x:v>
      </x:c>
      <x:c r="E40" s="75" t="n">
        <x:v>46323</x:v>
      </x:c>
      <x:c r="F40" s="75" t="n">
        <x:v>46323</x:v>
      </x:c>
      <x:c r="G40" s="74" t="str">
        <x:v>M2-A04</x:v>
      </x:c>
      <x:c r="H40" s="74" t="str">
        <x:v>런타임·독일 전용 DB/계정·환경변수 이름</x:v>
      </x:c>
      <x:c r="I40" s="74" t="str">
        <x:v>M5</x:v>
      </x:c>
      <x:c r="J40" s="74" t="str">
        <x:v>#19</x:v>
      </x:c>
      <x:c r="K40" s="74" t="str">
        <x:v>미확인</x:v>
      </x:c>
      <x:c r="L40" s="74" t="str">
        <x:v>동일 게시판 코드 사용. 앱 코드를 M2에 배정하지 않음</x:v>
      </x:c>
    </x:row>
    <x:row r="41" ht="70" customHeight="1">
      <x:c r="A41" s="78" t="str">
        <x:v>M2-A11</x:v>
      </x:c>
      <x:c r="B41" s="78" t="str">
        <x:v>AS-IS</x:v>
      </x:c>
      <x:c r="C41" s="74" t="str">
        <x:v>WEB→WAS→DB 임시 경로 검증</x:v>
      </x:c>
      <x:c r="D41" s="74" t="str">
        <x:v>M2 윤서영</x:v>
      </x:c>
      <x:c r="E41" s="75" t="n">
        <x:v>46323</x:v>
      </x:c>
      <x:c r="F41" s="75" t="n">
        <x:v>46324</x:v>
      </x:c>
      <x:c r="G41" s="74" t="str">
        <x:v>M2-A07, M2-A10</x:v>
      </x:c>
      <x:c r="H41" s="74" t="str">
        <x:v>직원→WEB 요청·앱 전달·시험 DB 조회</x:v>
      </x:c>
      <x:c r="I41" s="74" t="str">
        <x:v>M5</x:v>
      </x:c>
      <x:c r="J41" s="74" t="str">
        <x:v>#19</x:v>
      </x:c>
      <x:c r="K41" s="74" t="str">
        <x:v>미확인</x:v>
      </x:c>
      <x:c r="L41" s="74" t="str">
        <x:v>임시 페이지는 경로 확인용</x:v>
      </x:c>
    </x:row>
    <x:row r="42" ht="70" customHeight="1">
      <x:c r="A42" s="78" t="str">
        <x:v>M2-A12</x:v>
      </x:c>
      <x:c r="B42" s="78" t="str">
        <x:v>AS-IS</x:v>
      </x:c>
      <x:c r="C42" s="74" t="str">
        <x:v>T12 VPN·한국 DNS/업무 승인 연결</x:v>
      </x:c>
      <x:c r="D42" s="74" t="str">
        <x:v>M2 윤서영</x:v>
      </x:c>
      <x:c r="E42" s="75" t="n">
        <x:v>46323</x:v>
      </x:c>
      <x:c r="F42" s="75" t="n">
        <x:v>46324</x:v>
      </x:c>
      <x:c r="G42" s="74" t="str">
        <x:v>M2-A04, M1-A02</x:v>
      </x:c>
      <x:c r="H42" s="74" t="str">
        <x:v>VPN·왕복 경로·승인된 서비스 결과</x:v>
      </x:c>
      <x:c r="I42" s="74" t="str">
        <x:v>M1</x:v>
      </x:c>
      <x:c r="J42" s="74" t="str">
        <x:v>#19</x:v>
      </x:c>
      <x:c r="K42" s="74" t="str">
        <x:v>미확인</x:v>
      </x:c>
      <x:c r="L42" s="74" t="str">
        <x:v>양단 확인. 한국과 독일 DB는 독립 유지</x:v>
      </x:c>
    </x:row>
    <x:row r="43" ht="70" customHeight="1">
      <x:c r="A43" s="78" t="str">
        <x:v>M2-A13</x:v>
      </x:c>
      <x:c r="B43" s="78" t="str">
        <x:v>AS-IS</x:v>
      </x:c>
      <x:c r="C43" s="74" t="str">
        <x:v>공통 게시판 독일 설정으로 배포</x:v>
      </x:c>
      <x:c r="D43" s="74" t="str">
        <x:v>M2 윤서영</x:v>
      </x:c>
      <x:c r="E43" s="75" t="n">
        <x:v>46324</x:v>
      </x:c>
      <x:c r="F43" s="75" t="n">
        <x:v>46325</x:v>
      </x:c>
      <x:c r="G43" s="74" t="str">
        <x:v>M2-A11, DEV03</x:v>
      </x:c>
      <x:c r="H43" s="74" t="str">
        <x:v>로그인·게시글 처리·독일 DB 저장</x:v>
      </x:c>
      <x:c r="I43" s="74" t="str">
        <x:v>M5</x:v>
      </x:c>
      <x:c r="J43" s="74" t="str">
        <x:v>#19</x:v>
      </x:c>
      <x:c r="K43" s="74" t="str">
        <x:v>미확인</x:v>
      </x:c>
      <x:c r="L43" s="74" t="str">
        <x:v>한국 데이터/계정 혼용 없음 확인</x:v>
      </x:c>
    </x:row>
    <x:row r="44" ht="70" customHeight="1">
      <x:c r="A44" s="78" t="str">
        <x:v>M2-A14</x:v>
      </x:c>
      <x:c r="B44" s="78" t="str">
        <x:v>AS-IS</x:v>
      </x:c>
      <x:c r="C44" s="74" t="str">
        <x:v>한국·독일 SSH 시험 조건 대조</x:v>
      </x:c>
      <x:c r="D44" s="74" t="str">
        <x:v>M2 윤서영</x:v>
      </x:c>
      <x:c r="E44" s="75" t="n">
        <x:v>46324</x:v>
      </x:c>
      <x:c r="F44" s="75" t="n">
        <x:v>46325</x:v>
      </x:c>
      <x:c r="G44" s="74" t="str">
        <x:v>M2-A10, M1-A17</x:v>
      </x:c>
      <x:c r="H44" s="74" t="str">
        <x:v>OS·계정 정책·시도 횟수·간격·UTM 조건표</x:v>
      </x:c>
      <x:c r="I44" s="74" t="str">
        <x:v>M1</x:v>
      </x:c>
      <x:c r="J44" s="74" t="str">
        <x:v>#19</x:v>
      </x:c>
      <x:c r="K44" s="74" t="str">
        <x:v>미확인</x:v>
      </x:c>
      <x:c r="L44" s="74" t="str">
        <x:v>다른 환경으로 생긴 차이를 보안 효과로 해석하지 않음</x:v>
      </x:c>
    </x:row>
    <x:row r="45" ht="70" customHeight="1">
      <x:c r="A45" s="78" t="str">
        <x:v>M2-A15</x:v>
      </x:c>
      <x:c r="B45" s="78" t="str">
        <x:v>AS-IS</x:v>
      </x:c>
      <x:c r="C45" s="74" t="str">
        <x:v>S02 시험 PC·원본 인증 로그 준비</x:v>
      </x:c>
      <x:c r="D45" s="74" t="str">
        <x:v>M2 윤서영</x:v>
      </x:c>
      <x:c r="E45" s="75" t="n">
        <x:v>46325</x:v>
      </x:c>
      <x:c r="F45" s="75" t="n">
        <x:v>46325</x:v>
      </x:c>
      <x:c r="G45" s="74" t="str">
        <x:v>M2-A14</x:v>
      </x:c>
      <x:c r="H45" s="74" t="str">
        <x:v>직원 시험 PC·WAS 원본 로그·초기 상태</x:v>
      </x:c>
      <x:c r="I45" s="74" t="str">
        <x:v>S02 담당</x:v>
      </x:c>
      <x:c r="J45" s="74" t="str">
        <x:v>#19</x:v>
      </x:c>
      <x:c r="K45" s="74" t="str">
        <x:v>미확인</x:v>
      </x:c>
      <x:c r="L45" s="74" t="str">
        <x:v>실제 반복 시험 11/02. AS-IS Wazuh 미구축</x:v>
      </x:c>
    </x:row>
    <x:row r="46" ht="70" customHeight="1">
      <x:c r="A46" s="78" t="str">
        <x:v>M2-A16</x:v>
      </x:c>
      <x:c r="B46" s="78" t="str">
        <x:v>AS-IS</x:v>
      </x:c>
      <x:c r="C46" s="74" t="str">
        <x:v>Wazuh 후속 설치 자원·버전 준비</x:v>
      </x:c>
      <x:c r="D46" s="74" t="str">
        <x:v>M2 윤서영</x:v>
      </x:c>
      <x:c r="E46" s="75" t="n">
        <x:v>46324</x:v>
      </x:c>
      <x:c r="F46" s="75" t="n">
        <x:v>46325</x:v>
      </x:c>
      <x:c r="G46" s="74" t="str">
        <x:v>M2-A01</x:v>
      </x:c>
      <x:c r="H46" s="74" t="str">
        <x:v>리소스 예산·설치 자료·대상 Agent 목록</x:v>
      </x:c>
      <x:c r="I46" s="74" t="str">
        <x:v>11/04 Wazuh 담당</x:v>
      </x:c>
      <x:c r="J46" s="74" t="str">
        <x:v>#19</x:v>
      </x:c>
      <x:c r="K46" s="74" t="str">
        <x:v>미확인</x:v>
      </x:c>
      <x:c r="L46" s="74" t="str">
        <x:v>자료 준비만 병행. AS-IS 조건을 바꾸는 대응 정책 적용 금지</x:v>
      </x:c>
    </x:row>
    <x:row r="47" ht="70" customHeight="1">
      <x:c r="A47" s="78" t="str">
        <x:v>M2-A17</x:v>
      </x:c>
      <x:c r="B47" s="78" t="str">
        <x:v>AS-IS</x:v>
      </x:c>
      <x:c r="C47" s="74" t="str">
        <x:v>부서별 인터넷·정상 관리 최종 확인</x:v>
      </x:c>
      <x:c r="D47" s="74" t="str">
        <x:v>M2 윤서영</x:v>
      </x:c>
      <x:c r="E47" s="75" t="n">
        <x:v>46325</x:v>
      </x:c>
      <x:c r="F47" s="75" t="n">
        <x:v>46325</x:v>
      </x:c>
      <x:c r="G47" s="74" t="str">
        <x:v>M2-A06, M2-A08, M2-A09, M2-A12</x:v>
      </x:c>
      <x:c r="H47" s="74" t="str">
        <x:v>DNS·HTTPS·승인 관리자 접속</x:v>
      </x:c>
      <x:c r="I47" s="74" t="str">
        <x:v>PL</x:v>
      </x:c>
      <x:c r="J47" s="74" t="str">
        <x:v>#19</x:v>
      </x:c>
      <x:c r="K47" s="74" t="str">
        <x:v>미확인</x:v>
      </x:c>
      <x:c r="L47" s="74" t="str">
        <x:v>직원 VLAN의 UTM 경유 여부를 경로로 확인</x:v>
      </x:c>
    </x:row>
    <x:row r="48" ht="70" customHeight="1">
      <x:c r="A48" s="78" t="str">
        <x:v>M2-A18</x:v>
      </x:c>
      <x:c r="B48" s="78" t="str">
        <x:v>AS-IS</x:v>
      </x:c>
      <x:c r="C48" s="74" t="str">
        <x:v>독일 AS-IS 결과·설정 백업 인계</x:v>
      </x:c>
      <x:c r="D48" s="74" t="str">
        <x:v>M2 윤서영</x:v>
      </x:c>
      <x:c r="E48" s="75" t="n">
        <x:v>46325</x:v>
      </x:c>
      <x:c r="F48" s="75" t="n">
        <x:v>46325</x:v>
      </x:c>
      <x:c r="G48" s="74" t="str">
        <x:v>M2-A13, M2-A15, M2-A17</x:v>
      </x:c>
      <x:c r="H48" s="74" t="str">
        <x:v>정상 업무·기준 로그·잔여 장애·초기 스냅샷</x:v>
      </x:c>
      <x:c r="I48" s="74" t="str">
        <x:v>PL·PM</x:v>
      </x:c>
      <x:c r="J48" s="74" t="str">
        <x:v>#19</x:v>
      </x:c>
      <x:c r="K48" s="74" t="str">
        <x:v>미확인</x:v>
      </x:c>
      <x:c r="L48" s="74" t="str">
        <x:v>도면 제출과 실구축 완료 구분</x:v>
      </x:c>
    </x:row>
    <x:row r="49" ht="70" customHeight="1">
      <x:c r="A49" s="79" t="str">
        <x:v>M3-A01</x:v>
      </x:c>
      <x:c r="B49" s="79" t="str">
        <x:v>AS-IS</x:v>
      </x:c>
      <x:c r="C49" s="74" t="str">
        <x:v>ESXi 관리망·노드망 실제 연결 대조</x:v>
      </x:c>
      <x:c r="D49" s="74" t="str">
        <x:v>M3 홍은서</x:v>
      </x:c>
      <x:c r="E49" s="75" t="n">
        <x:v>46322</x:v>
      </x:c>
      <x:c r="F49" s="75" t="n">
        <x:v>46322</x:v>
      </x:c>
      <x:c r="G49" s="74" t="str">
        <x:v>C02</x:v>
      </x:c>
      <x:c r="H49" s="74" t="str">
        <x:v>vSwitch/Port Group/VMnet·노드 GW·UTM 도달 경로</x:v>
      </x:c>
      <x:c r="I49" s="74" t="str">
        <x:v>M1·M4·M5</x:v>
      </x:c>
      <x:c r="J49" s="74" t="str">
        <x:v>#24</x:v>
      </x:c>
      <x:c r="K49" s="74" t="str">
        <x:v>미확인</x:v>
      </x:c>
      <x:c r="L49" s="74" t="str">
        <x:v>도면의 관리망과 별도 노드망 연결을 생략하지 않음</x:v>
      </x:c>
    </x:row>
    <x:row r="50" ht="70" customHeight="1">
      <x:c r="A50" s="79" t="str">
        <x:v>M3-A02</x:v>
      </x:c>
      <x:c r="B50" s="79" t="str">
        <x:v>AS-IS</x:v>
      </x:c>
      <x:c r="C50" s="74" t="str">
        <x:v>기존 노드 VM·런타임 상태 재확인</x:v>
      </x:c>
      <x:c r="D50" s="74" t="str">
        <x:v>M3 홍은서</x:v>
      </x:c>
      <x:c r="E50" s="75" t="n">
        <x:v>46322</x:v>
      </x:c>
      <x:c r="F50" s="75" t="n">
        <x:v>46322</x:v>
      </x:c>
      <x:c r="G50" s="74" t="str">
        <x:v>M3-A01</x:v>
      </x:c>
      <x:c r="H50" s="74" t="str">
        <x:v>Control Plane 1·Worker 2대 자원·시간·런타임</x:v>
      </x:c>
      <x:c r="I50" s="74" t="str">
        <x:v>M3</x:v>
      </x:c>
      <x:c r="J50" s="74" t="str">
        <x:v>#24</x:v>
      </x:c>
      <x:c r="K50" s="74" t="str">
        <x:v>미확인</x:v>
      </x:c>
      <x:c r="L50" s="74" t="str">
        <x:v>10/23 설치 보고 보존. 설계 변경 영향만 재확인</x:v>
      </x:c>
    </x:row>
    <x:row r="51" ht="70" customHeight="1">
      <x:c r="A51" s="79" t="str">
        <x:v>M3-A03</x:v>
      </x:c>
      <x:c r="B51" s="79" t="str">
        <x:v>AS-IS</x:v>
      </x:c>
      <x:c r="C51" s="74" t="str">
        <x:v>Control Plane 초기화·Worker 가입</x:v>
      </x:c>
      <x:c r="D51" s="74" t="str">
        <x:v>M3 홍은서</x:v>
      </x:c>
      <x:c r="E51" s="75" t="n">
        <x:v>46322</x:v>
      </x:c>
      <x:c r="F51" s="75" t="n">
        <x:v>46323</x:v>
      </x:c>
      <x:c r="G51" s="74" t="str">
        <x:v>M3-A02</x:v>
      </x:c>
      <x:c r="H51" s="74" t="str">
        <x:v>클러스터 가입·API 접속 결과</x:v>
      </x:c>
      <x:c r="I51" s="74" t="str">
        <x:v>M3</x:v>
      </x:c>
      <x:c r="J51" s="74" t="str">
        <x:v>#24</x:v>
      </x:c>
      <x:c r="K51" s="74" t="str">
        <x:v>미확인</x:v>
      </x:c>
      <x:c r="L51" s="74" t="str">
        <x:v>관리 API 인증 우회와 포트 도달 구분</x:v>
      </x:c>
    </x:row>
    <x:row r="52" ht="70" customHeight="1">
      <x:c r="A52" s="79" t="str">
        <x:v>M3-A04</x:v>
      </x:c>
      <x:c r="B52" s="79" t="str">
        <x:v>AS-IS</x:v>
      </x:c>
      <x:c r="C52" s="74" t="str">
        <x:v>CNI·CoreDNS·Pod 통신 검증</x:v>
      </x:c>
      <x:c r="D52" s="74" t="str">
        <x:v>M3 홍은서</x:v>
      </x:c>
      <x:c r="E52" s="75" t="n">
        <x:v>46323</x:v>
      </x:c>
      <x:c r="F52" s="75" t="n">
        <x:v>46323</x:v>
      </x:c>
      <x:c r="G52" s="74" t="str">
        <x:v>M3-A03</x:v>
      </x:c>
      <x:c r="H52" s="74" t="str">
        <x:v>노드 Ready·노드 간 Pod/DNS·이미지 pull</x:v>
      </x:c>
      <x:c r="I52" s="74" t="str">
        <x:v>M5</x:v>
      </x:c>
      <x:c r="J52" s="74" t="str">
        <x:v>#24</x:v>
      </x:c>
      <x:c r="K52" s="74" t="str">
        <x:v>미확인</x:v>
      </x:c>
      <x:c r="L52" s="74" t="str">
        <x:v>Pod/Service CIDR 중복 확인</x:v>
      </x:c>
    </x:row>
    <x:row r="53" ht="70" customHeight="1">
      <x:c r="A53" s="79" t="str">
        <x:v>M3-A05</x:v>
      </x:c>
      <x:c r="B53" s="79" t="str">
        <x:v>AS-IS</x:v>
      </x:c>
      <x:c r="C53" s="74" t="str">
        <x:v>Primary DB 설치·가짜 초기 데이터 준비</x:v>
      </x:c>
      <x:c r="D53" s="74" t="str">
        <x:v>M3 홍은서</x:v>
      </x:c>
      <x:c r="E53" s="75" t="n">
        <x:v>46322</x:v>
      </x:c>
      <x:c r="F53" s="75" t="n">
        <x:v>46323</x:v>
      </x:c>
      <x:c r="G53" s="74" t="str">
        <x:v>M3-A01</x:v>
      </x:c>
      <x:c r="H53" s="74" t="str">
        <x:v>DB 버전·전용 계정·스키마·정상 조회</x:v>
      </x:c>
      <x:c r="I53" s="74" t="str">
        <x:v>M4·M5</x:v>
      </x:c>
      <x:c r="J53" s="74" t="str">
        <x:v>#24</x:v>
      </x:c>
      <x:c r="K53" s="74" t="str">
        <x:v>미확인</x:v>
      </x:c>
      <x:c r="L53" s="74" t="str">
        <x:v>애플리케이션 완성을 기다리지 않고 DB 준비</x:v>
      </x:c>
    </x:row>
    <x:row r="54" ht="70" customHeight="1">
      <x:c r="A54" s="79" t="str">
        <x:v>M3-A06</x:v>
      </x:c>
      <x:c r="B54" s="79" t="str">
        <x:v>AS-IS</x:v>
      </x:c>
      <x:c r="C54" s="74" t="str">
        <x:v>M1 라우팅·노드망 반환 경로 검증</x:v>
      </x:c>
      <x:c r="D54" s="74" t="str">
        <x:v>M3 홍은서</x:v>
      </x:c>
      <x:c r="E54" s="75" t="n">
        <x:v>46323</x:v>
      </x:c>
      <x:c r="F54" s="75" t="n">
        <x:v>46324</x:v>
      </x:c>
      <x:c r="G54" s="74" t="str">
        <x:v>M3-A01</x:v>
      </x:c>
      <x:c r="H54" s="74" t="str">
        <x:v>관리 PC·서비스 요청의 실제 왕복 경로</x:v>
      </x:c>
      <x:c r="I54" s="74" t="str">
        <x:v>M1</x:v>
      </x:c>
      <x:c r="J54" s="74" t="str">
        <x:v>#24</x:v>
      </x:c>
      <x:c r="K54" s="74" t="str">
        <x:v>미확인</x:v>
      </x:c>
      <x:c r="L54" s="74" t="str">
        <x:v>SNAT로 시험 출발지가 가려지지 않는지 대조</x:v>
      </x:c>
    </x:row>
    <x:row r="55" ht="70" customHeight="1">
      <x:c r="A55" s="79" t="str">
        <x:v>M3-A07</x:v>
      </x:c>
      <x:c r="B55" s="79" t="str">
        <x:v>AS-IS</x:v>
      </x:c>
      <x:c r="C55" s="74" t="str">
        <x:v>M4 백업/복제 접속 명세 인계</x:v>
      </x:c>
      <x:c r="D55" s="74" t="str">
        <x:v>M3 홍은서</x:v>
      </x:c>
      <x:c r="E55" s="75" t="n">
        <x:v>46323</x:v>
      </x:c>
      <x:c r="F55" s="75" t="n">
        <x:v>46323</x:v>
      </x:c>
      <x:c r="G55" s="74" t="str">
        <x:v>M3-A05</x:v>
      </x:c>
      <x:c r="H55" s="74" t="str">
        <x:v>DB 버전·연결계정 역할·복제 조건·접속 확인 시각</x:v>
      </x:c>
      <x:c r="I55" s="74" t="str">
        <x:v>M4</x:v>
      </x:c>
      <x:c r="J55" s="74" t="str">
        <x:v>#24</x:v>
      </x:c>
      <x:c r="K55" s="74" t="str">
        <x:v>미확인</x:v>
      </x:c>
      <x:c r="L55" s="74" t="str">
        <x:v>비밀값 별도 전달. 공동 작업은 예약된 시각에 수행</x:v>
      </x:c>
    </x:row>
    <x:row r="56" ht="70" customHeight="1">
      <x:c r="A56" s="79" t="str">
        <x:v>M3-A08</x:v>
      </x:c>
      <x:c r="B56" s="79" t="str">
        <x:v>AS-IS</x:v>
      </x:c>
      <x:c r="C56" s="74" t="str">
        <x:v>M3–M4 VPN·DB 접속 공동 확인</x:v>
      </x:c>
      <x:c r="D56" s="74" t="str">
        <x:v>M3 홍은서</x:v>
      </x:c>
      <x:c r="E56" s="75" t="n">
        <x:v>46324</x:v>
      </x:c>
      <x:c r="F56" s="75" t="n">
        <x:v>46324</x:v>
      </x:c>
      <x:c r="G56" s="74" t="str">
        <x:v>M3-A07, M4-A05</x:v>
      </x:c>
      <x:c r="H56" s="74" t="str">
        <x:v>DB 포트→인증→시험 조회 단계별 결과</x:v>
      </x:c>
      <x:c r="I56" s="74" t="str">
        <x:v>M4</x:v>
      </x:c>
      <x:c r="J56" s="74" t="str">
        <x:v>#24</x:v>
      </x:c>
      <x:c r="K56" s="74" t="str">
        <x:v>미확인</x:v>
      </x:c>
      <x:c r="L56" s="74" t="str">
        <x:v>Timeout을 경로/정책/리스닝/계정으로 구분</x:v>
      </x:c>
    </x:row>
    <x:row r="57" ht="70" customHeight="1">
      <x:c r="A57" s="79" t="str">
        <x:v>M3-A09</x:v>
      </x:c>
      <x:c r="B57" s="79" t="str">
        <x:v>AS-IS</x:v>
      </x:c>
      <x:c r="C57" s="74" t="str">
        <x:v>Nginx·Service·임시 앱→DB 연결</x:v>
      </x:c>
      <x:c r="D57" s="74" t="str">
        <x:v>M3 홍은서</x:v>
      </x:c>
      <x:c r="E57" s="75" t="n">
        <x:v>46323</x:v>
      </x:c>
      <x:c r="F57" s="75" t="n">
        <x:v>46324</x:v>
      </x:c>
      <x:c r="G57" s="74" t="str">
        <x:v>M3-A04, M3-A05</x:v>
      </x:c>
      <x:c r="H57" s="74" t="str">
        <x:v>WEB→진입포트→Spring 시험 앱→DB 응답</x:v>
      </x:c>
      <x:c r="I57" s="74" t="str">
        <x:v>M5</x:v>
      </x:c>
      <x:c r="J57" s="74" t="str">
        <x:v>#24</x:v>
      </x:c>
      <x:c r="K57" s="74" t="str">
        <x:v>미확인</x:v>
      </x:c>
      <x:c r="L57" s="74" t="str">
        <x:v>임시 앱을 OTT 완성으로 표시하지 않음</x:v>
      </x:c>
    </x:row>
    <x:row r="58" ht="70" customHeight="1">
      <x:c r="A58" s="79" t="str">
        <x:v>M3-A10</x:v>
      </x:c>
      <x:c r="B58" s="79" t="str">
        <x:v>AS-IS</x:v>
      </x:c>
      <x:c r="C58" s="74" t="str">
        <x:v>격리 Test DB·S03/S05 조건 인계</x:v>
      </x:c>
      <x:c r="D58" s="74" t="str">
        <x:v>M3 홍은서</x:v>
      </x:c>
      <x:c r="E58" s="75" t="n">
        <x:v>46323</x:v>
      </x:c>
      <x:c r="F58" s="75" t="n">
        <x:v>46324</x:v>
      </x:c>
      <x:c r="G58" s="74" t="str">
        <x:v>M3-A05, M3-A06</x:v>
      </x:c>
      <x:c r="H58" s="74" t="str">
        <x:v>읽기 전용 가짜 계정·가짜 데이터·시험 가능 시각</x:v>
      </x:c>
      <x:c r="I58" s="74" t="str">
        <x:v>M1·M5</x:v>
      </x:c>
      <x:c r="J58" s="74" t="str">
        <x:v>#24</x:v>
      </x:c>
      <x:c r="K58" s="74" t="str">
        <x:v>미확인</x:v>
      </x:c>
      <x:c r="L58" s="74" t="str">
        <x:v>운영 DB·RDS를 취약 시험 대상으로 쓰지 않음</x:v>
      </x:c>
    </x:row>
    <x:row r="59" ht="70" customHeight="1">
      <x:c r="A59" s="79" t="str">
        <x:v>M3-A11</x:v>
      </x:c>
      <x:c r="B59" s="79" t="str">
        <x:v>AS-IS</x:v>
      </x:c>
      <x:c r="C59" s="74" t="str">
        <x:v>최소 OTT 이미지·설정 배포</x:v>
      </x:c>
      <x:c r="D59" s="74" t="str">
        <x:v>M3 홍은서</x:v>
      </x:c>
      <x:c r="E59" s="75" t="n">
        <x:v>46325</x:v>
      </x:c>
      <x:c r="F59" s="75" t="n">
        <x:v>46325</x:v>
      </x:c>
      <x:c r="G59" s="74" t="str">
        <x:v>M3-A09, DEV06</x:v>
      </x:c>
      <x:c r="H59" s="74" t="str">
        <x:v>목록·샘플 재생·DB 연동 실제 결과</x:v>
      </x:c>
      <x:c r="I59" s="74" t="str">
        <x:v>M5</x:v>
      </x:c>
      <x:c r="J59" s="74" t="str">
        <x:v>#24</x:v>
      </x:c>
      <x:c r="K59" s="74" t="str">
        <x:v>미확인</x:v>
      </x:c>
      <x:c r="L59" s="74" t="str">
        <x:v>앱 미인계 시 임시 경로 성공과 미완료 OTT 분리</x:v>
      </x:c>
    </x:row>
    <x:row r="60" ht="70" customHeight="1">
      <x:c r="A60" s="79" t="str">
        <x:v>M3-A12</x:v>
      </x:c>
      <x:c r="B60" s="79" t="str">
        <x:v>AS-IS</x:v>
      </x:c>
      <x:c r="C60" s="74" t="str">
        <x:v>M4 기본 복제/덤프 지원·정상 조회 확인</x:v>
      </x:c>
      <x:c r="D60" s="74" t="str">
        <x:v>M3 홍은서</x:v>
      </x:c>
      <x:c r="E60" s="75" t="n">
        <x:v>46324</x:v>
      </x:c>
      <x:c r="F60" s="75" t="n">
        <x:v>46325</x:v>
      </x:c>
      <x:c r="G60" s="74" t="str">
        <x:v>M3-A08, M4-A09</x:v>
      </x:c>
      <x:c r="H60" s="74" t="str">
        <x:v>가짜 데이터 복제·백업 영향·연결 결과</x:v>
      </x:c>
      <x:c r="I60" s="74" t="str">
        <x:v>M4</x:v>
      </x:c>
      <x:c r="J60" s="74" t="str">
        <x:v>#24</x:v>
      </x:c>
      <x:c r="K60" s="74" t="str">
        <x:v>미확인</x:v>
      </x:c>
      <x:c r="L60" s="74" t="str">
        <x:v>공동 지원 시간과 M3 자체 작업 겹치지 않게 조정</x:v>
      </x:c>
    </x:row>
    <x:row r="61" ht="70" customHeight="1">
      <x:c r="A61" s="79" t="str">
        <x:v>M3-A13</x:v>
      </x:c>
      <x:c r="B61" s="79" t="str">
        <x:v>AS-IS</x:v>
      </x:c>
      <x:c r="C61" s="74" t="str">
        <x:v>AS-IS 통합·설정 백업 인계</x:v>
      </x:c>
      <x:c r="D61" s="74" t="str">
        <x:v>M3 홍은서</x:v>
      </x:c>
      <x:c r="E61" s="75" t="n">
        <x:v>46325</x:v>
      </x:c>
      <x:c r="F61" s="75" t="n">
        <x:v>46325</x:v>
      </x:c>
      <x:c r="G61" s="74" t="str">
        <x:v>M3-A10, M3-A11, M3-A12</x:v>
      </x:c>
      <x:c r="H61" s="74" t="str">
        <x:v>서비스·관리·Test DB·백업 정상 결과·스냅샷</x:v>
      </x:c>
      <x:c r="I61" s="74" t="str">
        <x:v>PL·PM</x:v>
      </x:c>
      <x:c r="J61" s="74" t="str">
        <x:v>#24</x:v>
      </x:c>
      <x:c r="K61" s="74" t="str">
        <x:v>미확인</x:v>
      </x:c>
      <x:c r="L61" s="74" t="str">
        <x:v>멀티 Pod·VIP 개선 시험은 TO-BE로 분리</x:v>
      </x:c>
    </x:row>
    <x:row r="62" ht="70" customHeight="1">
      <x:c r="A62" s="80" t="str">
        <x:v>M4-A01</x:v>
      </x:c>
      <x:c r="B62" s="80" t="str">
        <x:v>AS-IS</x:v>
      </x:c>
      <x:c r="C62" s="74" t="str">
        <x:v>기존 백업망 보존·새 4구간 대응표 작성</x:v>
      </x:c>
      <x:c r="D62" s="74" t="str">
        <x:v>M4 박진혁</x:v>
      </x:c>
      <x:c r="E62" s="75" t="n">
        <x:v>46322</x:v>
      </x:c>
      <x:c r="F62" s="75" t="n">
        <x:v>46322</x:v>
      </x:c>
      <x:c r="G62" s="74" t="str">
        <x:v>C02</x:v>
      </x:c>
      <x:c r="H62" s="74" t="str">
        <x:v>구장비→OPS/REPLICA/BACKUP/PROXY 이행표</x:v>
      </x:c>
      <x:c r="I62" s="74" t="str">
        <x:v>M3·PL</x:v>
      </x:c>
      <x:c r="J62" s="74" t="str">
        <x:v>#29</x:v>
      </x:c>
      <x:c r="K62" s="74" t="str">
        <x:v>미확인</x:v>
      </x:c>
      <x:c r="L62" s="74" t="str">
        <x:v>기존 설정·성공 보고 삭제 금지. 운영/시험 PC 주소 이동 확인</x:v>
      </x:c>
    </x:row>
    <x:row r="63" ht="70" customHeight="1">
      <x:c r="A63" s="80" t="str">
        <x:v>M4-A02</x:v>
      </x:c>
      <x:c r="B63" s="80" t="str">
        <x:v>AS-IS</x:v>
      </x:c>
      <x:c r="C63" s="74" t="str">
        <x:v>UTM4 내부 NIC 4개·MAC·VMnet 매핑</x:v>
      </x:c>
      <x:c r="D63" s="74" t="str">
        <x:v>M4 박진혁</x:v>
      </x:c>
      <x:c r="E63" s="75" t="n">
        <x:v>46322</x:v>
      </x:c>
      <x:c r="F63" s="75" t="n">
        <x:v>46322</x:v>
      </x:c>
      <x:c r="G63" s="74" t="str">
        <x:v>M4-A01</x:v>
      </x:c>
      <x:c r="H63" s="74" t="str">
        <x:v>독립 구간 매핑·GW·관리 접속</x:v>
      </x:c>
      <x:c r="I63" s="74" t="str">
        <x:v>M4</x:v>
      </x:c>
      <x:c r="J63" s="74" t="str">
        <x:v>#29</x:v>
      </x:c>
      <x:c r="K63" s="74" t="str">
        <x:v>미확인</x:v>
      </x:c>
      <x:c r="L63" s="74" t="str">
        <x:v>별도 UTM GW 장비 없음</x:v>
      </x:c>
    </x:row>
    <x:row r="64" ht="70" customHeight="1">
      <x:c r="A64" s="80" t="str">
        <x:v>M4-A03</x:v>
      </x:c>
      <x:c r="B64" s="80" t="str">
        <x:v>AS-IS</x:v>
      </x:c>
      <x:c r="C64" s="74" t="str">
        <x:v>OPS 운영 PC·S04 PC 이행</x:v>
      </x:c>
      <x:c r="D64" s="74" t="str">
        <x:v>M4 박진혁</x:v>
      </x:c>
      <x:c r="E64" s="75" t="n">
        <x:v>46322</x:v>
      </x:c>
      <x:c r="F64" s="75" t="n">
        <x:v>46323</x:v>
      </x:c>
      <x:c r="G64" s="74" t="str">
        <x:v>M4-A02</x:v>
      </x:c>
      <x:c r="H64" s="74" t="str">
        <x:v>새 GW·DNS·관리 접속 및 시험 PC 도달성</x:v>
      </x:c>
      <x:c r="I64" s="74" t="str">
        <x:v>M4</x:v>
      </x:c>
      <x:c r="J64" s="74" t="str">
        <x:v>#29</x:v>
      </x:c>
      <x:c r="K64" s="74" t="str">
        <x:v>미확인</x:v>
      </x:c>
      <x:c r="L64" s="74" t="str">
        <x:v>시험 PC는 예전 BACKUP 동일망에서 OPS로 이동</x:v>
      </x:c>
    </x:row>
    <x:row r="65" ht="70" customHeight="1">
      <x:c r="A65" s="80" t="str">
        <x:v>M4-A04</x:v>
      </x:c>
      <x:c r="B65" s="80" t="str">
        <x:v>AS-IS</x:v>
      </x:c>
      <x:c r="C65" s="74" t="str">
        <x:v>Replica·Backup·Restore·Proxy VM 준비</x:v>
      </x:c>
      <x:c r="D65" s="74" t="str">
        <x:v>M4 박진혁</x:v>
      </x:c>
      <x:c r="E65" s="75" t="n">
        <x:v>46322</x:v>
      </x:c>
      <x:c r="F65" s="75" t="n">
        <x:v>46323</x:v>
      </x:c>
      <x:c r="G65" s="74" t="str">
        <x:v>M4-A02</x:v>
      </x:c>
      <x:c r="H65" s="74" t="str">
        <x:v>각 VM 역할·OS/DB 버전·자원·인터페이스</x:v>
      </x:c>
      <x:c r="I65" s="74" t="str">
        <x:v>M3</x:v>
      </x:c>
      <x:c r="J65" s="74" t="str">
        <x:v>#29</x:v>
      </x:c>
      <x:c r="K65" s="74" t="str">
        <x:v>미확인</x:v>
      </x:c>
      <x:c r="L65" s="74" t="str">
        <x:v>32GB 자원 검토. 미가동 VM은 준비/검증 시 기동 구분</x:v>
      </x:c>
    </x:row>
    <x:row r="66" ht="70" customHeight="1">
      <x:c r="A66" s="80" t="str">
        <x:v>M4-A05</x:v>
      </x:c>
      <x:c r="B66" s="80" t="str">
        <x:v>AS-IS</x:v>
      </x:c>
      <x:c r="C66" s="74" t="str">
        <x:v>M3–M4 양단 VPN·라우트 확인</x:v>
      </x:c>
      <x:c r="D66" s="74" t="str">
        <x:v>M4 박진혁</x:v>
      </x:c>
      <x:c r="E66" s="75" t="n">
        <x:v>46323</x:v>
      </x:c>
      <x:c r="F66" s="75" t="n">
        <x:v>46324</x:v>
      </x:c>
      <x:c r="G66" s="74" t="str">
        <x:v>M4-A02, M3-A07</x:v>
      </x:c>
      <x:c r="H66" s="74" t="str">
        <x:v>VPN·반환 경로·NAT 예외·DB 도달성</x:v>
      </x:c>
      <x:c r="I66" s="74" t="str">
        <x:v>M3</x:v>
      </x:c>
      <x:c r="J66" s="74" t="str">
        <x:v>#29</x:v>
      </x:c>
      <x:c r="K66" s="74" t="str">
        <x:v>미확인</x:v>
      </x:c>
      <x:c r="L66" s="74" t="str">
        <x:v>최신 4구간 PNG VPN 계획 기준. 이전 일반 라우팅 페이지와 혼용 금지</x:v>
      </x:c>
    </x:row>
    <x:row r="67" ht="70" customHeight="1">
      <x:c r="A67" s="80" t="str">
        <x:v>M4-A06</x:v>
      </x:c>
      <x:c r="B67" s="80" t="str">
        <x:v>AS-IS</x:v>
      </x:c>
      <x:c r="C67" s="74" t="str">
        <x:v>격리 가짜 백업 파일·원본 권한 보존</x:v>
      </x:c>
      <x:c r="D67" s="74" t="str">
        <x:v>M4 박진혁</x:v>
      </x:c>
      <x:c r="E67" s="75" t="n">
        <x:v>46322</x:v>
      </x:c>
      <x:c r="F67" s="75" t="n">
        <x:v>46323</x:v>
      </x:c>
      <x:c r="G67" s="74" t="str">
        <x:v>M4-A03</x:v>
      </x:c>
      <x:c r="H67" s="74" t="str">
        <x:v>가짜 파일·소유자·그룹·경로·해시·초기 사본</x:v>
      </x:c>
      <x:c r="I67" s="74" t="str">
        <x:v>S04 담당</x:v>
      </x:c>
      <x:c r="J67" s="74" t="str">
        <x:v>#29</x:v>
      </x:c>
      <x:c r="K67" s="74" t="str">
        <x:v>미확인</x:v>
      </x:c>
      <x:c r="L67" s="74" t="str">
        <x:v>10/22 준비 보고 보존. 새 구간에서 재확인</x:v>
      </x:c>
    </x:row>
    <x:row r="68" ht="70" customHeight="1">
      <x:c r="A68" s="80" t="str">
        <x:v>M4-A07</x:v>
      </x:c>
      <x:c r="B68" s="80" t="str">
        <x:v>AS-IS</x:v>
      </x:c>
      <x:c r="C68" s="74" t="str">
        <x:v>백업 계정·시험 계정·관리 계정 분리</x:v>
      </x:c>
      <x:c r="D68" s="74" t="str">
        <x:v>M4 박진혁</x:v>
      </x:c>
      <x:c r="E68" s="75" t="n">
        <x:v>46323</x:v>
      </x:c>
      <x:c r="F68" s="75" t="n">
        <x:v>46323</x:v>
      </x:c>
      <x:c r="G68" s="74" t="str">
        <x:v>M4-A06</x:v>
      </x:c>
      <x:c r="H68" s="74" t="str">
        <x:v>계정별 정상·시험 접근 범위표</x:v>
      </x:c>
      <x:c r="I68" s="74" t="str">
        <x:v>M4</x:v>
      </x:c>
      <x:c r="J68" s="74" t="str">
        <x:v>#29</x:v>
      </x:c>
      <x:c r="K68" s="74" t="str">
        <x:v>미확인</x:v>
      </x:c>
      <x:c r="L68" s="74" t="str">
        <x:v>같은 파일·계정으로 전후 비교 가능하게 준비</x:v>
      </x:c>
    </x:row>
    <x:row r="69" ht="70" customHeight="1">
      <x:c r="A69" s="80" t="str">
        <x:v>M4-A08</x:v>
      </x:c>
      <x:c r="B69" s="80" t="str">
        <x:v>AS-IS</x:v>
      </x:c>
      <x:c r="C69" s="74" t="str">
        <x:v>파일 접근 서비스·감사 로그 준비</x:v>
      </x:c>
      <x:c r="D69" s="74" t="str">
        <x:v>M4 박진혁</x:v>
      </x:c>
      <x:c r="E69" s="75" t="n">
        <x:v>46323</x:v>
      </x:c>
      <x:c r="F69" s="75" t="n">
        <x:v>46324</x:v>
      </x:c>
      <x:c r="G69" s="74" t="str">
        <x:v>M4-A07</x:v>
      </x:c>
      <x:c r="H69" s="74" t="str">
        <x:v>OPS→BACKUP 전송 방식/포트·auditd 원본 로그</x:v>
      </x:c>
      <x:c r="I69" s="74" t="str">
        <x:v>S04 담당</x:v>
      </x:c>
      <x:c r="J69" s="74" t="str">
        <x:v>#29</x:v>
      </x:c>
      <x:c r="K69" s="74" t="str">
        <x:v>미확인</x:v>
      </x:c>
      <x:c r="L69" s="74" t="str">
        <x:v>망 이동 후 파일 권한 취약점이 재현 가능한지 사전 확인. 실측 전 성공 단정 금지</x:v>
      </x:c>
    </x:row>
    <x:row r="70" ht="70" customHeight="1">
      <x:c r="A70" s="80" t="str">
        <x:v>M4-A09</x:v>
      </x:c>
      <x:c r="B70" s="80" t="str">
        <x:v>AS-IS</x:v>
      </x:c>
      <x:c r="C70" s="74" t="str">
        <x:v>Primary 접속·Replica 초기 동기화</x:v>
      </x:c>
      <x:c r="D70" s="74" t="str">
        <x:v>M4 박진혁</x:v>
      </x:c>
      <x:c r="E70" s="75" t="n">
        <x:v>46324</x:v>
      </x:c>
      <x:c r="F70" s="75" t="n">
        <x:v>46324</x:v>
      </x:c>
      <x:c r="G70" s="74" t="str">
        <x:v>M4-A04, M4-A05, M3-A07</x:v>
      </x:c>
      <x:c r="H70" s="74" t="str">
        <x:v>복제 상태·가짜 변경 데이터 반영</x:v>
      </x:c>
      <x:c r="I70" s="74" t="str">
        <x:v>M3</x:v>
      </x:c>
      <x:c r="J70" s="74" t="str">
        <x:v>#29</x:v>
      </x:c>
      <x:c r="K70" s="74" t="str">
        <x:v>미확인</x:v>
      </x:c>
      <x:c r="L70" s="74" t="str">
        <x:v>확정된 AS-IS 작업. 초기 동기화와 실제 변경 데이터 수신을 각각 확인</x:v>
      </x:c>
    </x:row>
    <x:row r="71" ht="70" customHeight="1">
      <x:c r="A71" s="80" t="str">
        <x:v>M4-A10</x:v>
      </x:c>
      <x:c r="B71" s="80" t="str">
        <x:v>AS-IS</x:v>
      </x:c>
      <x:c r="C71" s="74" t="str">
        <x:v>Replica에서 논리 백업 추출</x:v>
      </x:c>
      <x:c r="D71" s="74" t="str">
        <x:v>M4 박진혁</x:v>
      </x:c>
      <x:c r="E71" s="75" t="n">
        <x:v>46324</x:v>
      </x:c>
      <x:c r="F71" s="75" t="n">
        <x:v>46325</x:v>
      </x:c>
      <x:c r="G71" s="74" t="str">
        <x:v>M4-A09</x:v>
      </x:c>
      <x:c r="H71" s="74" t="str">
        <x:v>덤프 종료 상태·일관성·크기·sha256</x:v>
      </x:c>
      <x:c r="I71" s="74" t="str">
        <x:v>M3</x:v>
      </x:c>
      <x:c r="J71" s="74" t="str">
        <x:v>#29</x:v>
      </x:c>
      <x:c r="K71" s="74" t="str">
        <x:v>미확인</x:v>
      </x:c>
      <x:c r="L71" s="74" t="str">
        <x:v>복제 성공은 백업 파일 생성 성공과 별개</x:v>
      </x:c>
    </x:row>
    <x:row r="72" ht="70" customHeight="1">
      <x:c r="A72" s="80" t="str">
        <x:v>M4-A11</x:v>
      </x:c>
      <x:c r="B72" s="80" t="str">
        <x:v>AS-IS</x:v>
      </x:c>
      <x:c r="C72" s="74" t="str">
        <x:v>별도 로컬 MySQL에 실제 복원</x:v>
      </x:c>
      <x:c r="D72" s="74" t="str">
        <x:v>M4 박진혁</x:v>
      </x:c>
      <x:c r="E72" s="75" t="n">
        <x:v>46325</x:v>
      </x:c>
      <x:c r="F72" s="75" t="n">
        <x:v>46325</x:v>
      </x:c>
      <x:c r="G72" s="74" t="str">
        <x:v>M4-A10</x:v>
      </x:c>
      <x:c r="H72" s="74" t="str">
        <x:v>기동·스키마·행/대표 조회·오류 결과</x:v>
      </x:c>
      <x:c r="I72" s="74" t="str">
        <x:v>M3·PL</x:v>
      </x:c>
      <x:c r="J72" s="74" t="str">
        <x:v>#29</x:v>
      </x:c>
      <x:c r="K72" s="74" t="str">
        <x:v>미확인</x:v>
      </x:c>
      <x:c r="L72" s="74" t="str">
        <x:v>운영 Primary 덮어쓰기 금지. 파일 일치와 DB 복원 성공 분리</x:v>
      </x:c>
    </x:row>
    <x:row r="73" ht="70" customHeight="1">
      <x:c r="A73" s="80" t="str">
        <x:v>M4-A12</x:v>
      </x:c>
      <x:c r="B73" s="80" t="str">
        <x:v>AS-IS</x:v>
      </x:c>
      <x:c r="C73" s="74" t="str">
        <x:v>ProxySQL 기본 SQL 중계 확인</x:v>
      </x:c>
      <x:c r="D73" s="74" t="str">
        <x:v>M4 박진혁</x:v>
      </x:c>
      <x:c r="E73" s="75" t="n">
        <x:v>46324</x:v>
      </x:c>
      <x:c r="F73" s="75" t="n">
        <x:v>46325</x:v>
      </x:c>
      <x:c r="G73" s="74" t="str">
        <x:v>M4-A04, M4-A05</x:v>
      </x:c>
      <x:c r="H73" s="74" t="str">
        <x:v>운영 PC→Proxy→Primary 실제 조회</x:v>
      </x:c>
      <x:c r="I73" s="74" t="str">
        <x:v>M3</x:v>
      </x:c>
      <x:c r="J73" s="74" t="str">
        <x:v>#29</x:v>
      </x:c>
      <x:c r="K73" s="74" t="str">
        <x:v>미확인</x:v>
      </x:c>
      <x:c r="L73" s="74" t="str">
        <x:v>자동 장애조치·자동 승격을 기본 범위로 추가하지 않음</x:v>
      </x:c>
    </x:row>
    <x:row r="74" ht="70" customHeight="1">
      <x:c r="A74" s="80" t="str">
        <x:v>M4-A13</x:v>
      </x:c>
      <x:c r="B74" s="80" t="str">
        <x:v>AS-IS</x:v>
      </x:c>
      <x:c r="C74" s="74" t="str">
        <x:v>Replica 지정 읽기·관리 접속 분리</x:v>
      </x:c>
      <x:c r="D74" s="74" t="str">
        <x:v>M4 박진혁</x:v>
      </x:c>
      <x:c r="E74" s="75" t="n">
        <x:v>46325</x:v>
      </x:c>
      <x:c r="F74" s="75" t="n">
        <x:v>46325</x:v>
      </x:c>
      <x:c r="G74" s="74" t="str">
        <x:v>M4-A09, M4-A12</x:v>
      </x:c>
      <x:c r="H74" s="74" t="str">
        <x:v>읽기 대상·관리자 전용 접속 결과</x:v>
      </x:c>
      <x:c r="I74" s="74" t="str">
        <x:v>M4</x:v>
      </x:c>
      <x:c r="J74" s="74" t="str">
        <x:v>#29</x:v>
      </x:c>
      <x:c r="K74" s="74" t="str">
        <x:v>미확인</x:v>
      </x:c>
      <x:c r="L74" s="74" t="str">
        <x:v>SQL 중계와 복제 기능 구분. 관리 포트는 일반 업무용 아님</x:v>
      </x:c>
    </x:row>
    <x:row r="75" ht="70" customHeight="1">
      <x:c r="A75" s="80" t="str">
        <x:v>M4-A14</x:v>
      </x:c>
      <x:c r="B75" s="80" t="str">
        <x:v>AS-IS</x:v>
      </x:c>
      <x:c r="C75" s="74" t="str">
        <x:v>S3 대상·권한·보존/삭제 범위 준비</x:v>
      </x:c>
      <x:c r="D75" s="74" t="str">
        <x:v>M4 박진혁</x:v>
      </x:c>
      <x:c r="E75" s="75" t="n">
        <x:v>46323</x:v>
      </x:c>
      <x:c r="F75" s="75" t="n">
        <x:v>46324</x:v>
      </x:c>
      <x:c r="G75" s="74" t="str">
        <x:v>M4-A04</x:v>
      </x:c>
      <x:c r="H75" s="74" t="str">
        <x:v>계정·리전·버킷·업/다운로드 역할·비공개 설정</x:v>
      </x:c>
      <x:c r="I75" s="74" t="str">
        <x:v>M4</x:v>
      </x:c>
      <x:c r="J75" s="74" t="str">
        <x:v>#29</x:v>
      </x:c>
      <x:c r="K75" s="74" t="str">
        <x:v>미확인</x:v>
      </x:c>
      <x:c r="L75" s="74" t="str">
        <x:v>새 PNG에서 빠졌지만 기존 회의의 원격 사본 목표 유지</x:v>
      </x:c>
    </x:row>
    <x:row r="76" ht="70" customHeight="1">
      <x:c r="A76" s="80" t="str">
        <x:v>M4-A15</x:v>
      </x:c>
      <x:c r="B76" s="80" t="str">
        <x:v>AS-IS</x:v>
      </x:c>
      <x:c r="C76" s="74" t="str">
        <x:v>S3 업로드·다운로드·파일 일치 확인</x:v>
      </x:c>
      <x:c r="D76" s="74" t="str">
        <x:v>M4 박진혁</x:v>
      </x:c>
      <x:c r="E76" s="75" t="n">
        <x:v>46325</x:v>
      </x:c>
      <x:c r="F76" s="75" t="n">
        <x:v>46325</x:v>
      </x:c>
      <x:c r="G76" s="74" t="str">
        <x:v>M4-A10, M4-A14</x:v>
      </x:c>
      <x:c r="H76" s="74" t="str">
        <x:v>실제 덤프 업로드/다운로드·해시 비교</x:v>
      </x:c>
      <x:c r="I76" s="74" t="str">
        <x:v>M4</x:v>
      </x:c>
      <x:c r="J76" s="74" t="str">
        <x:v>#29</x:v>
      </x:c>
      <x:c r="K76" s="74" t="str">
        <x:v>미확인</x:v>
      </x:c>
      <x:c r="L76" s="74" t="str">
        <x:v>권한 미확보는 미완료. 가짜 파일 시험과 실제 DB 덤프 결과 구분</x:v>
      </x:c>
    </x:row>
    <x:row r="77" ht="70" customHeight="1">
      <x:c r="A77" s="80" t="str">
        <x:v>M4-A16</x:v>
      </x:c>
      <x:c r="B77" s="80" t="str">
        <x:v>AS-IS</x:v>
      </x:c>
      <x:c r="C77" s="74" t="str">
        <x:v>S04 동일 조건 준비·정상 파일 읽기 확인</x:v>
      </x:c>
      <x:c r="D77" s="74" t="str">
        <x:v>M4 박진혁</x:v>
      </x:c>
      <x:c r="E77" s="75" t="n">
        <x:v>46325</x:v>
      </x:c>
      <x:c r="F77" s="75" t="n">
        <x:v>46325</x:v>
      </x:c>
      <x:c r="G77" s="74" t="str">
        <x:v>M4-A08</x:v>
      </x:c>
      <x:c r="H77" s="74" t="str">
        <x:v>시험 PC→접근 서비스→가짜 파일·정상 계정 결과</x:v>
      </x:c>
      <x:c r="I77" s="74" t="str">
        <x:v>11/02 공격 담당</x:v>
      </x:c>
      <x:c r="J77" s="74" t="str">
        <x:v>#29</x:v>
      </x:c>
      <x:c r="K77" s="74" t="str">
        <x:v>미확인</x:v>
      </x:c>
      <x:c r="L77" s="74" t="str">
        <x:v>UTM 통신 실패를 파일 권한 개선 효과로 오인하지 않음</x:v>
      </x:c>
    </x:row>
    <x:row r="78" ht="70" customHeight="1">
      <x:c r="A78" s="80" t="str">
        <x:v>M4-A17</x:v>
      </x:c>
      <x:c r="B78" s="80" t="str">
        <x:v>AS-IS</x:v>
      </x:c>
      <x:c r="C78" s="74" t="str">
        <x:v>복원 실행·복구 목표·장애 대응 절차 정리</x:v>
      </x:c>
      <x:c r="D78" s="74" t="str">
        <x:v>M4 박진혁</x:v>
      </x:c>
      <x:c r="E78" s="75" t="n">
        <x:v>46325</x:v>
      </x:c>
      <x:c r="F78" s="75" t="n">
        <x:v>46325</x:v>
      </x:c>
      <x:c r="G78" s="74" t="str">
        <x:v>M4-A11, M4-A13</x:v>
      </x:c>
      <x:c r="H78" s="74" t="str">
        <x:v>복제/백업/복원 별도 결과·소요시간 기록</x:v>
      </x:c>
      <x:c r="I78" s="74" t="str">
        <x:v>PL·PM</x:v>
      </x:c>
      <x:c r="J78" s="74" t="str">
        <x:v>#29</x:v>
      </x:c>
      <x:c r="K78" s="74" t="str">
        <x:v>미확인</x:v>
      </x:c>
      <x:c r="L78" s="74" t="str">
        <x:v>실측 RPO/RTO는 이후 시험. 임의 목표 달성 선언 금지</x:v>
      </x:c>
    </x:row>
    <x:row r="79" ht="70" customHeight="1">
      <x:c r="A79" s="80" t="str">
        <x:v>M4-A18</x:v>
      </x:c>
      <x:c r="B79" s="80" t="str">
        <x:v>AS-IS</x:v>
      </x:c>
      <x:c r="C79" s="74" t="str">
        <x:v>M4 AS-IS 설정 보존·미달 인계</x:v>
      </x:c>
      <x:c r="D79" s="74" t="str">
        <x:v>M4 박진혁</x:v>
      </x:c>
      <x:c r="E79" s="75" t="n">
        <x:v>46325</x:v>
      </x:c>
      <x:c r="F79" s="75" t="n">
        <x:v>46325</x:v>
      </x:c>
      <x:c r="G79" s="74" t="str">
        <x:v>M4-A15, M4-A16, M4-A17</x:v>
      </x:c>
      <x:c r="H79" s="74" t="str">
        <x:v>4구간 정상 결과·복원·S04 준비·잔여 장애</x:v>
      </x:c>
      <x:c r="I79" s="74" t="str">
        <x:v>PL·PM</x:v>
      </x:c>
      <x:c r="J79" s="74" t="str">
        <x:v>#29</x:v>
      </x:c>
      <x:c r="K79" s="74" t="str">
        <x:v>미확인</x:v>
      </x:c>
      <x:c r="L79" s="74" t="str">
        <x:v>이전 토폴로지 체크 상태를 새 4구간 완료로 승계하지 않음</x:v>
      </x:c>
    </x:row>
    <x:row r="80" ht="70" customHeight="1">
      <x:c r="A80" s="80" t="str">
        <x:v>M4-A19</x:v>
      </x:c>
      <x:c r="B80" s="80" t="str">
        <x:v>TO-BE</x:v>
      </x:c>
      <x:c r="C80" s="74" t="str">
        <x:v>AWS 별도 복원 환경 준비</x:v>
      </x:c>
      <x:c r="D80" s="74" t="str">
        <x:v>M4 박진혁</x:v>
      </x:c>
      <x:c r="E80" s="75" t="n">
        <x:v>46330</x:v>
      </x:c>
      <x:c r="F80" s="75" t="n">
        <x:v>46331</x:v>
      </x:c>
      <x:c r="G80" s="74" t="str">
        <x:v>M4-A14</x:v>
      </x:c>
      <x:c r="H80" s="74" t="str">
        <x:v>복원 EC2 또는 합의된 격리 환경·관리 경로</x:v>
      </x:c>
      <x:c r="I80" s="74" t="str">
        <x:v>M4</x:v>
      </x:c>
      <x:c r="J80" s="74" t="str">
        <x:v>#10</x:v>
      </x:c>
      <x:c r="K80" s="74" t="str">
        <x:v>미확인</x:v>
      </x:c>
      <x:c r="L80" s="74" t="str">
        <x:v>Gateway/Interface Endpoint 또는 NAT 선택을 실제 계정 조건으로 확정</x:v>
      </x:c>
    </x:row>
    <x:row r="81" ht="70" customHeight="1">
      <x:c r="A81" s="80" t="str">
        <x:v>M4-A20</x:v>
      </x:c>
      <x:c r="B81" s="80" t="str">
        <x:v>TO-BE</x:v>
      </x:c>
      <x:c r="C81" s="74" t="str">
        <x:v>S3 덤프의 AWS 격리 DB 복원</x:v>
      </x:c>
      <x:c r="D81" s="74" t="str">
        <x:v>M4 박진혁</x:v>
      </x:c>
      <x:c r="E81" s="75" t="n">
        <x:v>46331</x:v>
      </x:c>
      <x:c r="F81" s="75" t="n">
        <x:v>46332</x:v>
      </x:c>
      <x:c r="G81" s="74" t="str">
        <x:v>M4-A15, M4-A19</x:v>
      </x:c>
      <x:c r="H81" s="74" t="str">
        <x:v>다운로드→DB 복원→대표 조회·비용 정리</x:v>
      </x:c>
      <x:c r="I81" s="74" t="str">
        <x:v>PL</x:v>
      </x:c>
      <x:c r="J81" s="74" t="str">
        <x:v>#10</x:v>
      </x:c>
      <x:c r="K81" s="74" t="str">
        <x:v>미확인</x:v>
      </x:c>
      <x:c r="L81" s="74" t="str">
        <x:v>로컬 복원과 AWS 복원을 별도 실적으로 기록</x:v>
      </x:c>
    </x:row>
    <x:row r="82" ht="70" customHeight="1">
      <x:c r="A82" s="81" t="str">
        <x:v>M5-A01</x:v>
      </x:c>
      <x:c r="B82" s="81" t="str">
        <x:v>AS-IS</x:v>
      </x:c>
      <x:c r="C82" s="74" t="str">
        <x:v>완료된 사무실 5대·UTM·백업 기록 대조</x:v>
      </x:c>
      <x:c r="D82" s="74" t="str">
        <x:v>M5 유은혜</x:v>
      </x:c>
      <x:c r="E82" s="75" t="n">
        <x:v>46322</x:v>
      </x:c>
      <x:c r="F82" s="75" t="n">
        <x:v>46322</x:v>
      </x:c>
      <x:c r="G82" s="74" t="str">
        <x:v>C01</x:v>
      </x:c>
      <x:c r="H82" s="74" t="str">
        <x:v>기존 정상 결과 링크·변경점 목록</x:v>
      </x:c>
      <x:c r="I82" s="74" t="str">
        <x:v>PM·PL</x:v>
      </x:c>
      <x:c r="J82" s="74" t="str">
        <x:v>#34</x:v>
      </x:c>
      <x:c r="K82" s="74" t="str">
        <x:v>기존 성공 보고</x:v>
      </x:c>
      <x:c r="L82" s="74" t="str">
        <x:v>10/23 완료 보고 보존. 실제 실행은 이번에 재수행하지 않음</x:v>
      </x:c>
    </x:row>
    <x:row r="83" ht="70" customHeight="1">
      <x:c r="A83" s="81" t="str">
        <x:v>M5-A02</x:v>
      </x:c>
      <x:c r="B83" s="81" t="str">
        <x:v>AS-IS</x:v>
      </x:c>
      <x:c r="C83" s="74" t="str">
        <x:v>VPN 상대·대상 대역·종단 도달성 인계</x:v>
      </x:c>
      <x:c r="D83" s="74" t="str">
        <x:v>M5 유은혜</x:v>
      </x:c>
      <x:c r="E83" s="75" t="n">
        <x:v>46322</x:v>
      </x:c>
      <x:c r="F83" s="75" t="n">
        <x:v>46322</x:v>
      </x:c>
      <x:c r="G83" s="74" t="str">
        <x:v>M5-A01</x:v>
      </x:c>
      <x:c r="H83" s="74" t="str">
        <x:v>M1 종단 도달·양단 설정 조건</x:v>
      </x:c>
      <x:c r="I83" s="74" t="str">
        <x:v>M1</x:v>
      </x:c>
      <x:c r="J83" s="74" t="str">
        <x:v>#34</x:v>
      </x:c>
      <x:c r="K83" s="74" t="str">
        <x:v>미확인</x:v>
      </x:c>
      <x:c r="L83" s="74" t="str">
        <x:v>M1-A02 미달이면 Blocked, 개발은 독립 진행</x:v>
      </x:c>
    </x:row>
    <x:row r="84" ht="70" customHeight="1">
      <x:c r="A84" s="81" t="str">
        <x:v>M5-A03</x:v>
      </x:c>
      <x:c r="B84" s="81" t="str">
        <x:v>AS-IS</x:v>
      </x:c>
      <x:c r="C84" s="74" t="str">
        <x:v>T15 VPN 구성·양방향 정상 업무 확인</x:v>
      </x:c>
      <x:c r="D84" s="74" t="str">
        <x:v>M5 유은혜</x:v>
      </x:c>
      <x:c r="E84" s="75" t="n">
        <x:v>46323</x:v>
      </x:c>
      <x:c r="F84" s="75" t="n">
        <x:v>46324</x:v>
      </x:c>
      <x:c r="G84" s="74" t="str">
        <x:v>M5-A02, M1-A02</x:v>
      </x:c>
      <x:c r="H84" s="74" t="str">
        <x:v>터널·반환 경로·DNS·승인 요청</x:v>
      </x:c>
      <x:c r="I84" s="74" t="str">
        <x:v>M1</x:v>
      </x:c>
      <x:c r="J84" s="74" t="str">
        <x:v>#34</x:v>
      </x:c>
      <x:c r="K84" s="74" t="str">
        <x:v>미확인</x:v>
      </x:c>
      <x:c r="L84" s="74" t="str">
        <x:v>M1 주관 양단 지원. M5 가용시간 안에서 예약</x:v>
      </x:c>
    </x:row>
    <x:row r="85" ht="70" customHeight="1">
      <x:c r="A85" s="81" t="str">
        <x:v>M5-A04</x:v>
      </x:c>
      <x:c r="B85" s="81" t="str">
        <x:v>AS-IS</x:v>
      </x:c>
      <x:c r="C85" s="74" t="str">
        <x:v>M3 격리 Test DB 시험 조건 수령</x:v>
      </x:c>
      <x:c r="D85" s="74" t="str">
        <x:v>M5 유은혜</x:v>
      </x:c>
      <x:c r="E85" s="75" t="n">
        <x:v>46324</x:v>
      </x:c>
      <x:c r="F85" s="75" t="n">
        <x:v>46324</x:v>
      </x:c>
      <x:c r="G85" s="74" t="str">
        <x:v>M3-A10</x:v>
      </x:c>
      <x:c r="H85" s="74" t="str">
        <x:v>가짜 계정·읽기 시험·공동 시각</x:v>
      </x:c>
      <x:c r="I85" s="74" t="str">
        <x:v>M1·M3</x:v>
      </x:c>
      <x:c r="J85" s="74" t="str">
        <x:v>#35</x:v>
      </x:c>
      <x:c r="K85" s="74" t="str">
        <x:v>미확인</x:v>
      </x:c>
      <x:c r="L85" s="74" t="str">
        <x:v>운영 DB/RDS와 별도</x:v>
      </x:c>
    </x:row>
    <x:row r="86" ht="70" customHeight="1">
      <x:c r="A86" s="81" t="str">
        <x:v>M5-A05</x:v>
      </x:c>
      <x:c r="B86" s="81" t="str">
        <x:v>AS-IS</x:v>
      </x:c>
      <x:c r="C86" s="74" t="str">
        <x:v>S05 왕복 경로·정상 게시판 접속 확인</x:v>
      </x:c>
      <x:c r="D86" s="74" t="str">
        <x:v>M5 유은혜</x:v>
      </x:c>
      <x:c r="E86" s="75" t="n">
        <x:v>46325</x:v>
      </x:c>
      <x:c r="F86" s="75" t="n">
        <x:v>46325</x:v>
      </x:c>
      <x:c r="G86" s="74" t="str">
        <x:v>M5-A03, M5-A04, M1-A15, DEV03</x:v>
      </x:c>
      <x:c r="H86" s="74" t="str">
        <x:v>캐나다→한국 정상 업무·Test DB 시험 준비</x:v>
      </x:c>
      <x:c r="I86" s="74" t="str">
        <x:v>M1·M3</x:v>
      </x:c>
      <x:c r="J86" s="74" t="str">
        <x:v>#34</x:v>
      </x:c>
      <x:c r="K86" s="74" t="str">
        <x:v>미확인</x:v>
      </x:c>
      <x:c r="L86" s="74" t="str">
        <x:v>실제 공격 기록은 11/02</x:v>
      </x:c>
    </x:row>
    <x:row r="87" ht="70" customHeight="1">
      <x:c r="A87" s="81" t="str">
        <x:v>M5-A06</x:v>
      </x:c>
      <x:c r="B87" s="81" t="str">
        <x:v>AS-IS</x:v>
      </x:c>
      <x:c r="C87" s="74" t="str">
        <x:v>AS-IS 결과·VPN 설정 보존</x:v>
      </x:c>
      <x:c r="D87" s="74" t="str">
        <x:v>M5 유은혜</x:v>
      </x:c>
      <x:c r="E87" s="75" t="n">
        <x:v>46325</x:v>
      </x:c>
      <x:c r="F87" s="75" t="n">
        <x:v>46325</x:v>
      </x:c>
      <x:c r="G87" s="74" t="str">
        <x:v>M5-A05</x:v>
      </x:c>
      <x:c r="H87" s="74" t="str">
        <x:v>성공/실패·로그 링크·설정 백업</x:v>
      </x:c>
      <x:c r="I87" s="74" t="str">
        <x:v>PL</x:v>
      </x:c>
      <x:c r="J87" s="74" t="str">
        <x:v>#34</x:v>
      </x:c>
      <x:c r="K87" s="74" t="str">
        <x:v>미확인</x:v>
      </x:c>
      <x:c r="L87" s="74" t="str">
        <x:v>사무실 완료와 AWS Store 완료를 구분</x:v>
      </x:c>
    </x:row>
    <x:row r="88" ht="70" customHeight="1">
      <x:c r="A88" s="81" t="str">
        <x:v>M5-A07</x:v>
      </x:c>
      <x:c r="B88" s="81" t="str">
        <x:v>AWS</x:v>
      </x:c>
      <x:c r="C88" s="74" t="str">
        <x:v>AWS 리전·EKS 권한·예산 사용 가능 확인</x:v>
      </x:c>
      <x:c r="D88" s="74" t="str">
        <x:v>M5 유은혜</x:v>
      </x:c>
      <x:c r="E88" s="75" t="n">
        <x:v>46322</x:v>
      </x:c>
      <x:c r="F88" s="75" t="n">
        <x:v>46323</x:v>
      </x:c>
      <x:c r="G88" s="74" t="str">
        <x:v>C01</x:v>
      </x:c>
      <x:c r="H88" s="74" t="str">
        <x:v>실제 사용할 리전·EKS/RDS 권한·예산·정리 정책</x:v>
      </x:c>
      <x:c r="I88" s="74" t="str">
        <x:v>PM·PL</x:v>
      </x:c>
      <x:c r="J88" s="74" t="str">
        <x:v>#12</x:v>
      </x:c>
      <x:c r="K88" s="74" t="str">
        <x:v>미확인</x:v>
      </x:c>
      <x:c r="L88" s="74" t="str">
        <x:v>크레딧 확보는 EKS 이용 가능 증거가 아님. 제한 지속 시 대안 일정 승인</x:v>
      </x:c>
    </x:row>
    <x:row r="89" ht="70" customHeight="1">
      <x:c r="A89" s="81" t="str">
        <x:v>DEV01</x:v>
      </x:c>
      <x:c r="B89" s="81" t="str">
        <x:v>개발·AWS</x:v>
      </x:c>
      <x:c r="C89" s="74" t="str">
        <x:v>기존 코드 실행·인계 규격 차이 점검</x:v>
      </x:c>
      <x:c r="D89" s="74" t="str">
        <x:v>M5 유은혜</x:v>
      </x:c>
      <x:c r="E89" s="75" t="n">
        <x:v>46322</x:v>
      </x:c>
      <x:c r="F89" s="75" t="n">
        <x:v>46322</x:v>
      </x:c>
      <x:c r="G89" s="74" t="str">
        <x:v>C03</x:v>
      </x:c>
      <x:c r="H89" s="74" t="str">
        <x:v>재사용 코드·미구현 기능·설정 목록</x:v>
      </x:c>
      <x:c r="I89" s="74" t="str">
        <x:v>M1·M2·M3</x:v>
      </x:c>
      <x:c r="J89" s="74" t="str">
        <x:v>#8</x:v>
      </x:c>
      <x:c r="K89" s="74" t="str">
        <x:v>조정안</x:v>
      </x:c>
      <x:c r="L89" s="74" t="str">
        <x:v>D1 체크 완료 보존. 게시판 백엔드 코드 존재는 기능 완료 증거가 아님</x:v>
      </x:c>
    </x:row>
    <x:row r="90" ht="70" customHeight="1">
      <x:c r="A90" s="81" t="str">
        <x:v>DEV02</x:v>
      </x:c>
      <x:c r="B90" s="81" t="str">
        <x:v>개발·AWS</x:v>
      </x:c>
      <x:c r="C90" s="74" t="str">
        <x:v>게시판 최소 기능·국가별 DB 설정 보완</x:v>
      </x:c>
      <x:c r="D90" s="74" t="str">
        <x:v>M5 유은혜</x:v>
      </x:c>
      <x:c r="E90" s="75" t="n">
        <x:v>46322</x:v>
      </x:c>
      <x:c r="F90" s="75" t="n">
        <x:v>46323</x:v>
      </x:c>
      <x:c r="G90" s="74" t="str">
        <x:v>DEV01</x:v>
      </x:c>
      <x:c r="H90" s="74" t="str">
        <x:v>공통 코드·로그인·기본 CRUD·DB 저장 자체 확인</x:v>
      </x:c>
      <x:c r="I90" s="74" t="str">
        <x:v>M1·M2</x:v>
      </x:c>
      <x:c r="J90" s="74" t="str">
        <x:v>#8</x:v>
      </x:c>
      <x:c r="K90" s="74" t="str">
        <x:v>조정안</x:v>
      </x:c>
      <x:c r="L90" s="74" t="str">
        <x:v>새 디자인·부가기능 제외. 기존 코드가 실행 가능하다는 조건</x:v>
      </x:c>
    </x:row>
    <x:row r="91" ht="70" customHeight="1">
      <x:c r="A91" s="81" t="str">
        <x:v>DEV03</x:v>
      </x:c>
      <x:c r="B91" s="81" t="str">
        <x:v>개발·AWS</x:v>
      </x:c>
      <x:c r="C91" s="74" t="str">
        <x:v>게시판 실행본·DDL·환경변수 인계</x:v>
      </x:c>
      <x:c r="D91" s="74" t="str">
        <x:v>M5 유은혜</x:v>
      </x:c>
      <x:c r="E91" s="75" t="n">
        <x:v>46323</x:v>
      </x:c>
      <x:c r="F91" s="75" t="n">
        <x:v>46323</x:v>
      </x:c>
      <x:c r="G91" s="74" t="str">
        <x:v>DEV02</x:v>
      </x:c>
      <x:c r="H91" s="74" t="str">
        <x:v>실행 명령·가짜 seed·설정 이름·정상 URL·버전</x:v>
      </x:c>
      <x:c r="I91" s="74" t="str">
        <x:v>M1·M2</x:v>
      </x:c>
      <x:c r="J91" s="74" t="str">
        <x:v>#8</x:v>
      </x:c>
      <x:c r="K91" s="74" t="str">
        <x:v>조정안</x:v>
      </x:c>
      <x:c r="L91" s="74" t="str">
        <x:v>배포는 M1/M2. 인계 후 소스 변경 시 버전 재전달</x:v>
      </x:c>
    </x:row>
    <x:row r="92" ht="70" customHeight="1">
      <x:c r="A92" s="81" t="str">
        <x:v>DEV04</x:v>
      </x:c>
      <x:c r="B92" s="81" t="str">
        <x:v>개발·AWS</x:v>
      </x:c>
      <x:c r="C92" s="74" t="str">
        <x:v>OTT 목록·샘플 영상·DB 최소 기능</x:v>
      </x:c>
      <x:c r="D92" s="74" t="str">
        <x:v>M5 유은혜</x:v>
      </x:c>
      <x:c r="E92" s="75" t="n">
        <x:v>46324</x:v>
      </x:c>
      <x:c r="F92" s="75" t="n">
        <x:v>46324</x:v>
      </x:c>
      <x:c r="G92" s="74" t="str">
        <x:v>DEV01</x:v>
      </x:c>
      <x:c r="H92" s="74" t="str">
        <x:v>하나의 샘플 영상과 콘텐츠 목록·DB 연동</x:v>
      </x:c>
      <x:c r="I92" s="74" t="str">
        <x:v>M3</x:v>
      </x:c>
      <x:c r="J92" s="74" t="str">
        <x:v>#8</x:v>
      </x:c>
      <x:c r="K92" s="74" t="str">
        <x:v>조정안</x:v>
      </x:c>
      <x:c r="L92" s="74" t="str">
        <x:v>영상은 기존 샘플 사용. 신규 스트리밍 엔진 제외</x:v>
      </x:c>
    </x:row>
    <x:row r="93" ht="70" customHeight="1">
      <x:c r="A93" s="81" t="str">
        <x:v>DEV05</x:v>
      </x:c>
      <x:c r="B93" s="81" t="str">
        <x:v>개발·AWS</x:v>
      </x:c>
      <x:c r="C93" s="74" t="str">
        <x:v>OTT 로그인·권한 최소 동작 확인</x:v>
      </x:c>
      <x:c r="D93" s="74" t="str">
        <x:v>M5 유은혜</x:v>
      </x:c>
      <x:c r="E93" s="75" t="n">
        <x:v>46325</x:v>
      </x:c>
      <x:c r="F93" s="75" t="n">
        <x:v>46325</x:v>
      </x:c>
      <x:c r="G93" s="74" t="str">
        <x:v>DEV04</x:v>
      </x:c>
      <x:c r="H93" s="74" t="str">
        <x:v>승인/비승인 요청과 로그인·로그아웃 결과</x:v>
      </x:c>
      <x:c r="I93" s="74" t="str">
        <x:v>M3</x:v>
      </x:c>
      <x:c r="J93" s="74" t="str">
        <x:v>#8</x:v>
      </x:c>
      <x:c r="K93" s="74" t="str">
        <x:v>조정안</x:v>
      </x:c>
      <x:c r="L93" s="74" t="str">
        <x:v>기본 권한 기능 유지. 자동 통합로그인 범위 제외</x:v>
      </x:c>
    </x:row>
    <x:row r="94" ht="70" customHeight="1">
      <x:c r="A94" s="81" t="str">
        <x:v>DEV06</x:v>
      </x:c>
      <x:c r="B94" s="81" t="str">
        <x:v>개발·AWS</x:v>
      </x:c>
      <x:c r="C94" s="74" t="str">
        <x:v>OTT 이미지·DB 명세·배포 인계</x:v>
      </x:c>
      <x:c r="D94" s="74" t="str">
        <x:v>M5 유은혜</x:v>
      </x:c>
      <x:c r="E94" s="75" t="n">
        <x:v>46325</x:v>
      </x:c>
      <x:c r="F94" s="75" t="n">
        <x:v>46325</x:v>
      </x:c>
      <x:c r="G94" s="74" t="str">
        <x:v>DEV05</x:v>
      </x:c>
      <x:c r="H94" s="74" t="str">
        <x:v>이미지/실행본·DDL·환경변수·정상 URL</x:v>
      </x:c>
      <x:c r="I94" s="74" t="str">
        <x:v>M3</x:v>
      </x:c>
      <x:c r="J94" s="74" t="str">
        <x:v>#8</x:v>
      </x:c>
      <x:c r="K94" s="74" t="str">
        <x:v>조정안</x:v>
      </x:c>
      <x:c r="L94" s="74" t="str">
        <x:v>첫 실제 배포는 M3. 기능 미달 시 완료 처리 금지</x:v>
      </x:c>
    </x:row>
    <x:row r="95" ht="70" customHeight="1">
      <x:c r="A95" s="81" t="str">
        <x:v>DEV07</x:v>
      </x:c>
      <x:c r="B95" s="81" t="str">
        <x:v>개발·AWS</x:v>
      </x:c>
      <x:c r="C95" s="74" t="str">
        <x:v>Store 목록·모의 주문 로컬 개발</x:v>
      </x:c>
      <x:c r="D95" s="74" t="str">
        <x:v>M5 유은혜</x:v>
      </x:c>
      <x:c r="E95" s="75" t="n">
        <x:v>46326</x:v>
      </x:c>
      <x:c r="F95" s="75" t="n">
        <x:v>46327</x:v>
      </x:c>
      <x:c r="G95" s="74" t="str">
        <x:v>DEV03, DEV06</x:v>
      </x:c>
      <x:c r="H95" s="74" t="str">
        <x:v>상품 목록·가짜 주문 저장·자체 확인</x:v>
      </x:c>
      <x:c r="I95" s="74" t="str">
        <x:v>M5</x:v>
      </x:c>
      <x:c r="J95" s="74" t="str">
        <x:v>#8</x:v>
      </x:c>
      <x:c r="K95" s="74" t="str">
        <x:v>조정안</x:v>
      </x:c>
      <x:c r="L95" s="74" t="str">
        <x:v>주말 총 가용 8h 가정. 실제 결제·장바구니 고도화 제외</x:v>
      </x:c>
    </x:row>
    <x:row r="96" ht="70" customHeight="1">
      <x:c r="A96" s="81" t="str">
        <x:v>DEV08</x:v>
      </x:c>
      <x:c r="B96" s="81" t="str">
        <x:v>개발·AWS</x:v>
      </x:c>
      <x:c r="C96" s="74" t="str">
        <x:v>AWS VPC·서브넷·RDS·EKS 최소 기반</x:v>
      </x:c>
      <x:c r="D96" s="74" t="str">
        <x:v>M5 유은혜</x:v>
      </x:c>
      <x:c r="E96" s="75" t="n">
        <x:v>46326</x:v>
      </x:c>
      <x:c r="F96" s="75" t="n">
        <x:v>46327</x:v>
      </x:c>
      <x:c r="G96" s="74" t="str">
        <x:v>M5-A07</x:v>
      </x:c>
      <x:c r="H96" s="74" t="str">
        <x:v>클러스터/DB 실제 접근·재생성 명세·정리 목록</x:v>
      </x:c>
      <x:c r="I96" s="74" t="str">
        <x:v>M5</x:v>
      </x:c>
      <x:c r="J96" s="74" t="str">
        <x:v>#12</x:v>
      </x:c>
      <x:c r="K96" s="74" t="str">
        <x:v>조정안</x:v>
      </x:c>
      <x:c r="L96" s="74" t="str">
        <x:v>계정 제약 해소 조건. CloudFormation 범위는 기존 준비파일 재사용 우선</x:v>
      </x:c>
    </x:row>
    <x:row r="97" ht="70" customHeight="1">
      <x:c r="A97" s="81" t="str">
        <x:v>DEV09</x:v>
      </x:c>
      <x:c r="B97" s="81" t="str">
        <x:v>개발·AWS</x:v>
      </x:c>
      <x:c r="C97" s="74" t="str">
        <x:v>Store 이미지·ALB·Ingress·RDS 연결</x:v>
      </x:c>
      <x:c r="D97" s="74" t="str">
        <x:v>M5 유은혜</x:v>
      </x:c>
      <x:c r="E97" s="75" t="n">
        <x:v>46329</x:v>
      </x:c>
      <x:c r="F97" s="75" t="n">
        <x:v>46330</x:v>
      </x:c>
      <x:c r="G97" s="74" t="str">
        <x:v>DEV07, DEV08</x:v>
      </x:c>
      <x:c r="H97" s="74" t="str">
        <x:v>화면/API 상태 검사·DB 저장·비공개 DB 경로</x:v>
      </x:c>
      <x:c r="I97" s="74" t="str">
        <x:v>M5</x:v>
      </x:c>
      <x:c r="J97" s="74" t="str">
        <x:v>#12</x:v>
      </x:c>
      <x:c r="K97" s="74" t="str">
        <x:v>조정안</x:v>
      </x:c>
      <x:c r="L97" s="74" t="str">
        <x:v>인증서·도메인은 DEV10에서 확인. 로컬 성공을 AWS 성공으로 표시하지 않음</x:v>
      </x:c>
    </x:row>
    <x:row r="98" ht="70" customHeight="1">
      <x:c r="A98" s="81" t="str">
        <x:v>DEV10</x:v>
      </x:c>
      <x:c r="B98" s="81" t="str">
        <x:v>개발·AWS</x:v>
      </x:c>
      <x:c r="C98" s="74" t="str">
        <x:v>도메인 NS·Alias·HTTPS 정상 접속</x:v>
      </x:c>
      <x:c r="D98" s="74" t="str">
        <x:v>M5 유은혜</x:v>
      </x:c>
      <x:c r="E98" s="75" t="n">
        <x:v>46331</x:v>
      </x:c>
      <x:c r="F98" s="75" t="n">
        <x:v>46331</x:v>
      </x:c>
      <x:c r="G98" s="74" t="str">
        <x:v>DEV09</x:v>
      </x:c>
      <x:c r="H98" s="74" t="str">
        <x:v>실제 Store 도메인·인증서·브라우저 결과</x:v>
      </x:c>
      <x:c r="I98" s="74" t="str">
        <x:v>M5</x:v>
      </x:c>
      <x:c r="J98" s="74" t="str">
        <x:v>#12</x:v>
      </x:c>
      <x:c r="K98" s="74" t="str">
        <x:v>조정안</x:v>
      </x:c>
      <x:c r="L98" s="74" t="str">
        <x:v>DNS 전파 대기 중 다른 독립 작업 수행</x:v>
      </x:c>
    </x:row>
    <x:row r="99" ht="70" customHeight="1">
      <x:c r="A99" s="81" t="str">
        <x:v>DEV11</x:v>
      </x:c>
      <x:c r="B99" s="81" t="str">
        <x:v>개발·AWS</x:v>
      </x:c>
      <x:c r="C99" s="74" t="str">
        <x:v>CI/CD 도구 비교·선정</x:v>
      </x:c>
      <x:c r="D99" s="74" t="str">
        <x:v>M5 유은혜</x:v>
      </x:c>
      <x:c r="E99" s="75" t="n">
        <x:v>46330</x:v>
      </x:c>
      <x:c r="F99" s="75" t="n">
        <x:v>46330</x:v>
      </x:c>
      <x:c r="G99" s="74" t="str">
        <x:v>DEV06, DEV09</x:v>
      </x:c>
      <x:c r="H99" s="74" t="str">
        <x:v>Actions+Argo CD / Jenkins 접근성·자원·작업 시간 비교 결정</x:v>
      </x:c>
      <x:c r="I99" s="74" t="str">
        <x:v>M3·M5</x:v>
      </x:c>
      <x:c r="J99" s="74" t="str">
        <x:v>#8</x:v>
      </x:c>
      <x:c r="K99" s="74" t="str">
        <x:v>조정안</x:v>
      </x:c>
      <x:c r="L99" s="74" t="str">
        <x:v>착수 전까지 보류 유지. 날짜는 PM 목표이며 미리 도구 확정 금지</x:v>
      </x:c>
    </x:row>
    <x:row r="100" ht="70" customHeight="1">
      <x:c r="A100" s="81" t="str">
        <x:v>DEV12</x:v>
      </x:c>
      <x:c r="B100" s="81" t="str">
        <x:v>개발·AWS</x:v>
      </x:c>
      <x:c r="C100" s="74" t="str">
        <x:v>한 서비스 빌드·배포·롤백 최소 자동화</x:v>
      </x:c>
      <x:c r="D100" s="74" t="str">
        <x:v>M5 유은혜</x:v>
      </x:c>
      <x:c r="E100" s="75" t="n">
        <x:v>46331</x:v>
      </x:c>
      <x:c r="F100" s="75" t="n">
        <x:v>46332</x:v>
      </x:c>
      <x:c r="G100" s="74" t="str">
        <x:v>DEV11</x:v>
      </x:c>
      <x:c r="H100" s="74" t="str">
        <x:v>변경→빌드/검사→이미지→배포→실제 요청·되돌리기</x:v>
      </x:c>
      <x:c r="I100" s="74" t="str">
        <x:v>M3·M5</x:v>
      </x:c>
      <x:c r="J100" s="74" t="str">
        <x:v>#8</x:v>
      </x:c>
      <x:c r="K100" s="74" t="str">
        <x:v>조정안</x:v>
      </x:c>
      <x:c r="L100" s="74" t="str">
        <x:v>M3는 클러스터 적용 협업. 두 사이트 자동화가 미달이면 범위 조정 기록</x:v>
      </x:c>
    </x:row>
    <x:row r="101" ht="70" customHeight="1">
      <x:c r="A101" s="81" t="str">
        <x:v>DEV13</x:v>
      </x:c>
      <x:c r="B101" s="81" t="str">
        <x:v>개발·AWS</x:v>
      </x:c>
      <x:c r="C101" s="74" t="str">
        <x:v>짧은 샘플 STT·한영 자막 파일 생성</x:v>
      </x:c>
      <x:c r="D101" s="74" t="str">
        <x:v>M5 유은혜</x:v>
      </x:c>
      <x:c r="E101" s="75" t="n">
        <x:v>46329</x:v>
      </x:c>
      <x:c r="F101" s="75" t="n">
        <x:v>46332</x:v>
      </x:c>
      <x:c r="G101" s="74" t="str">
        <x:v>DEV06</x:v>
      </x:c>
      <x:c r="H101" s="74" t="str">
        <x:v>실제 음성 인식·한영 VTT/SRT·시간 정보</x:v>
      </x:c>
      <x:c r="I101" s="74" t="str">
        <x:v>M3</x:v>
      </x:c>
      <x:c r="J101" s="74" t="str">
        <x:v>#8</x:v>
      </x:c>
      <x:c r="K101" s="74" t="str">
        <x:v>조정안</x:v>
      </x:c>
      <x:c r="L101" s="74" t="str">
        <x:v>외부 API 사전 시험 성공 조건. 모의 응답을 실제 생성으로 표시 금지</x:v>
      </x:c>
    </x:row>
    <x:row r="102" ht="70" customHeight="1">
      <x:c r="A102" s="81" t="str">
        <x:v>DEV14</x:v>
      </x:c>
      <x:c r="B102" s="81" t="str">
        <x:v>개발·AWS</x:v>
      </x:c>
      <x:c r="C102" s="74" t="str">
        <x:v>AI API·플레이어 자막 선택 연동</x:v>
      </x:c>
      <x:c r="D102" s="74" t="str">
        <x:v>M5 유은혜</x:v>
      </x:c>
      <x:c r="E102" s="75" t="n">
        <x:v>46333</x:v>
      </x:c>
      <x:c r="F102" s="75" t="n">
        <x:v>46334</x:v>
      </x:c>
      <x:c r="G102" s="74" t="str">
        <x:v>DEV13, M3-A11</x:v>
      </x:c>
      <x:c r="H102" s="74" t="str">
        <x:v>직접 생성한 자막을 플레이어에서 재생</x:v>
      </x:c>
      <x:c r="I102" s="74" t="str">
        <x:v>M3</x:v>
      </x:c>
      <x:c r="J102" s="74" t="str">
        <x:v>#8</x:v>
      </x:c>
      <x:c r="K102" s="74" t="str">
        <x:v>조정안</x:v>
      </x:c>
      <x:c r="L102" s="74" t="str">
        <x:v>주말 총8h 가정. 프랑스어·챗봇·실시간 처리 보류</x:v>
      </x:c>
    </x:row>
    <x:row r="103" ht="70" customHeight="1">
      <x:c r="A103" s="81" t="str">
        <x:v>DEV15</x:v>
      </x:c>
      <x:c r="B103" s="81" t="str">
        <x:v>개발·AWS</x:v>
      </x:c>
      <x:c r="C103" s="74" t="str">
        <x:v>다중 앱 Pod·Redis 세션 유지 확인</x:v>
      </x:c>
      <x:c r="D103" s="74" t="str">
        <x:v>M5 유은혜</x:v>
      </x:c>
      <x:c r="E103" s="75" t="n">
        <x:v>46333</x:v>
      </x:c>
      <x:c r="F103" s="75" t="n">
        <x:v>46334</x:v>
      </x:c>
      <x:c r="G103" s="74" t="str">
        <x:v>DEV09, DEV05</x:v>
      </x:c>
      <x:c r="H103" s="74" t="str">
        <x:v>같은 서비스 Pod 전환·재시작 후 로그인 유지</x:v>
      </x:c>
      <x:c r="I103" s="74" t="str">
        <x:v>M3·M5</x:v>
      </x:c>
      <x:c r="J103" s="74" t="str">
        <x:v>#8</x:v>
      </x:c>
      <x:c r="K103" s="74" t="str">
        <x:v>조정안</x:v>
      </x:c>
      <x:c r="L103" s="74" t="str">
        <x:v>서비스별 별도 Redis. Redis 자체 HA·다른 도메인 SSO는 별도</x:v>
      </x:c>
    </x:row>
    <x:row r="104" ht="70" customHeight="1">
      <x:c r="A104" s="81" t="str">
        <x:v>DEV16</x:v>
      </x:c>
      <x:c r="B104" s="81" t="str">
        <x:v>개발·AWS</x:v>
      </x:c>
      <x:c r="C104" s="74" t="str">
        <x:v>통합 실패 보완·실제 배포 롤백</x:v>
      </x:c>
      <x:c r="D104" s="74" t="str">
        <x:v>M5 유은혜</x:v>
      </x:c>
      <x:c r="E104" s="75" t="n">
        <x:v>46333</x:v>
      </x:c>
      <x:c r="F104" s="75" t="n">
        <x:v>46334</x:v>
      </x:c>
      <x:c r="G104" s="74" t="str">
        <x:v>DEV10, DEV12</x:v>
      </x:c>
      <x:c r="H104" s="74" t="str">
        <x:v>게시판·OTT·Store 최소 시연·이전 버전 복원</x:v>
      </x:c>
      <x:c r="I104" s="74" t="str">
        <x:v>M3·M5</x:v>
      </x:c>
      <x:c r="J104" s="74" t="str">
        <x:v>#8</x:v>
      </x:c>
      <x:c r="K104" s="74" t="str">
        <x:v>조정안</x:v>
      </x:c>
      <x:c r="L104" s="74" t="str">
        <x:v>11/06은 중간 확인, AI 포함 최종 통합 목표는 11/09로 분리</x:v>
      </x:c>
    </x:row>
    <x:row r="105" ht="70" customHeight="1">
      <x:c r="A105" s="81" t="str">
        <x:v>DEV17</x:v>
      </x:c>
      <x:c r="B105" s="81" t="str">
        <x:v>개발·AWS</x:v>
      </x:c>
      <x:c r="C105" s="74" t="str">
        <x:v>RDS 격리 복원·앱 회귀 검증</x:v>
      </x:c>
      <x:c r="D105" s="74" t="str">
        <x:v>M5 유은혜</x:v>
      </x:c>
      <x:c r="E105" s="75" t="n">
        <x:v>46335</x:v>
      </x:c>
      <x:c r="F105" s="75" t="n">
        <x:v>46336</x:v>
      </x:c>
      <x:c r="G105" s="74" t="str">
        <x:v>DEV10, DEV16</x:v>
      </x:c>
      <x:c r="H105" s="74" t="str">
        <x:v>새 RDS로 복원·접속 변경·대표 데이터 조회·정리</x:v>
      </x:c>
      <x:c r="I105" s="74" t="str">
        <x:v>M5</x:v>
      </x:c>
      <x:c r="J105" s="74" t="str">
        <x:v>#12</x:v>
      </x:c>
      <x:c r="K105" s="74" t="str">
        <x:v>조정안</x:v>
      </x:c>
      <x:c r="L105" s="74" t="str">
        <x:v>원본 RDS 덮어쓰기 금지. 단순 스냅샷 생성으로 완료 처리 금지</x:v>
      </x:c>
    </x:row>
    <x:row r="106" ht="70" customHeight="1">
      <x:c r="A106" s="77" t="str">
        <x:v>M1-S01</x:v>
      </x:c>
      <x:c r="B106" s="77" t="str">
        <x:v>공격·분석</x:v>
      </x:c>
      <x:c r="C106" s="74" t="str">
        <x:v>S01 직원 PC→WAS 관리 접속 시험</x:v>
      </x:c>
      <x:c r="D106" s="74" t="str">
        <x:v>M1</x:v>
      </x:c>
      <x:c r="E106" s="75" t="n">
        <x:v>46328</x:v>
      </x:c>
      <x:c r="F106" s="75" t="n">
        <x:v>46328</x:v>
      </x:c>
      <x:c r="G106" s="74" t="str">
        <x:v>M1-A18</x:v>
      </x:c>
      <x:c r="H106" s="74" t="str">
        <x:v>조건·실제 결과·원본 로그·원인 분석</x:v>
      </x:c>
      <x:c r="I106" s="74" t="str">
        <x:v>PL 및 개선 담당</x:v>
      </x:c>
      <x:c r="J106" s="74" t="str">
        <x:v>#15</x:v>
      </x:c>
      <x:c r="K106" s="74" t="str">
        <x:v>조정안</x:v>
      </x:c>
      <x:c r="L106" s="74" t="str">
        <x:v>10/30 AS-IS 인수 후 실행. 실패/미재현 결과도 사실대로 기록</x:v>
      </x:c>
    </x:row>
    <x:row r="107" ht="70" customHeight="1">
      <x:c r="A107" s="77" t="str">
        <x:v>M1-T01</x:v>
      </x:c>
      <x:c r="B107" s="77" t="str">
        <x:v>TO-BE</x:v>
      </x:c>
      <x:c r="C107" s="74" t="str">
        <x:v>공격 근거 기반 정책·변경표·롤백 설계</x:v>
      </x:c>
      <x:c r="D107" s="74" t="str">
        <x:v>M1</x:v>
      </x:c>
      <x:c r="E107" s="75" t="n">
        <x:v>46329</x:v>
      </x:c>
      <x:c r="F107" s="75" t="n">
        <x:v>46329</x:v>
      </x:c>
      <x:c r="G107" s="74" t="str">
        <x:v>M1-S01</x:v>
      </x:c>
      <x:c r="H107" s="74" t="str">
        <x:v>전후 설계·정책 근거·검증 방법</x:v>
      </x:c>
      <x:c r="I107" s="74" t="str">
        <x:v>PL</x:v>
      </x:c>
      <x:c r="J107" s="74" t="str">
        <x:v>#16</x:v>
      </x:c>
      <x:c r="K107" s="74" t="str">
        <x:v>조정안</x:v>
      </x:c>
      <x:c r="L107" s="74" t="str">
        <x:v>M5 S05는 M3 설정 소유. 앱 코드를 다른 망 담당에게 배정하지 않음</x:v>
      </x:c>
    </x:row>
    <x:row r="108" ht="70" customHeight="1">
      <x:c r="A108" s="77" t="str">
        <x:v>M1-T02</x:v>
      </x:c>
      <x:c r="B108" s="77" t="str">
        <x:v>TO-BE</x:v>
      </x:c>
      <x:c r="C108" s="74" t="str">
        <x:v>직원 관리접속 제한·승인 관리자 유지</x:v>
      </x:c>
      <x:c r="D108" s="74" t="str">
        <x:v>M1</x:v>
      </x:c>
      <x:c r="E108" s="75" t="n">
        <x:v>46330</x:v>
      </x:c>
      <x:c r="F108" s="75" t="n">
        <x:v>46331</x:v>
      </x:c>
      <x:c r="G108" s="74" t="str">
        <x:v>M1-T01</x:v>
      </x:c>
      <x:c r="H108" s="74" t="str">
        <x:v>실제 적용 결과·정상 업무 유지·롤백</x:v>
      </x:c>
      <x:c r="I108" s="74" t="str">
        <x:v>공동 시험 담당</x:v>
      </x:c>
      <x:c r="J108" s="74" t="str">
        <x:v>#16</x:v>
      </x:c>
      <x:c r="K108" s="74" t="str">
        <x:v>조정안</x:v>
      </x:c>
      <x:c r="L108" s="74" t="str">
        <x:v>실측 효과를 확인. 도구 설치/정책 입력만으로 효과 판정 금지</x:v>
      </x:c>
    </x:row>
    <x:row r="109" ht="70" customHeight="1">
      <x:c r="A109" s="77" t="str">
        <x:v>M1-T03</x:v>
      </x:c>
      <x:c r="B109" s="77" t="str">
        <x:v>통합</x:v>
      </x:c>
      <x:c r="C109" s="74" t="str">
        <x:v>게시판·DNS·Samba·관리 접속 중간 확인</x:v>
      </x:c>
      <x:c r="D109" s="74" t="str">
        <x:v>M1</x:v>
      </x:c>
      <x:c r="E109" s="75" t="n">
        <x:v>46332</x:v>
      </x:c>
      <x:c r="F109" s="75" t="n">
        <x:v>46332</x:v>
      </x:c>
      <x:c r="G109" s="74" t="str">
        <x:v>M1-T02</x:v>
      </x:c>
      <x:c r="H109" s="74" t="str">
        <x:v>보안·정상 업무 결과·미해결 항목</x:v>
      </x:c>
      <x:c r="I109" s="74" t="str">
        <x:v>PM·PL</x:v>
      </x:c>
      <x:c r="J109" s="74" t="str">
        <x:v>#16</x:v>
      </x:c>
      <x:c r="K109" s="74" t="str">
        <x:v>조정안</x:v>
      </x:c>
      <x:c r="L109" s="74" t="str">
        <x:v>AI 포함 앱 최종 인수 목표는 11/09. 인프라 개선 확인과 구분</x:v>
      </x:c>
    </x:row>
    <x:row r="110" ht="70" customHeight="1">
      <x:c r="A110" s="77" t="str">
        <x:v>M1-R01</x:v>
      </x:c>
      <x:c r="B110" s="77" t="str">
        <x:v>재검증</x:v>
      </x:c>
      <x:c r="C110" s="74" t="str">
        <x:v>동일 조건 재시험·정상 업무 회귀</x:v>
      </x:c>
      <x:c r="D110" s="74" t="str">
        <x:v>M1</x:v>
      </x:c>
      <x:c r="E110" s="75" t="n">
        <x:v>46335</x:v>
      </x:c>
      <x:c r="F110" s="75" t="n">
        <x:v>46336</x:v>
      </x:c>
      <x:c r="G110" s="74" t="str">
        <x:v>M1-T03</x:v>
      </x:c>
      <x:c r="H110" s="74" t="str">
        <x:v>전/후 비교·정상 업무·실패 원인·확인자</x:v>
      </x:c>
      <x:c r="I110" s="74" t="str">
        <x:v>보고서 담당</x:v>
      </x:c>
      <x:c r="J110" s="74" t="str">
        <x:v>#17</x:v>
      </x:c>
      <x:c r="K110" s="74" t="str">
        <x:v>조정안</x:v>
      </x:c>
      <x:c r="L110" s="74" t="str">
        <x:v>출발지·계정·대상·횟수 유지</x:v>
      </x:c>
    </x:row>
    <x:row r="111" ht="70" customHeight="1">
      <x:c r="A111" s="77" t="str">
        <x:v>M1-F01</x:v>
      </x:c>
      <x:c r="B111" s="77" t="str">
        <x:v>결과 정리</x:v>
      </x:c>
      <x:c r="C111" s="74" t="str">
        <x:v>담당망 증거·한계·발표자료 정리</x:v>
      </x:c>
      <x:c r="D111" s="74" t="str">
        <x:v>M1</x:v>
      </x:c>
      <x:c r="E111" s="75" t="n">
        <x:v>46337</x:v>
      </x:c>
      <x:c r="F111" s="75" t="n">
        <x:v>46338</x:v>
      </x:c>
      <x:c r="G111" s="74" t="str">
        <x:v>M1-R01</x:v>
      </x:c>
      <x:c r="H111" s="74" t="str">
        <x:v>설계 이유·본인 기여·전후 근거·대체 시연</x:v>
      </x:c>
      <x:c r="I111" s="74" t="str">
        <x:v>PM</x:v>
      </x:c>
      <x:c r="J111" s="74" t="str">
        <x:v>#18</x:v>
      </x:c>
      <x:c r="K111" s="74" t="str">
        <x:v>조정안</x:v>
      </x:c>
      <x:c r="L111" s="74" t="str">
        <x:v>자기 망 기술서는 각 담당이 작성. PM이 전부 대필하지 않음</x:v>
      </x:c>
    </x:row>
    <x:row r="112" ht="70" customHeight="1">
      <x:c r="A112" s="78" t="str">
        <x:v>M2-S01</x:v>
      </x:c>
      <x:c r="B112" s="78" t="str">
        <x:v>공격·분석</x:v>
      </x:c>
      <x:c r="C112" s="74" t="str">
        <x:v>S02 독일 WAS 반복 인증 실패 시험</x:v>
      </x:c>
      <x:c r="D112" s="74" t="str">
        <x:v>M2</x:v>
      </x:c>
      <x:c r="E112" s="75" t="n">
        <x:v>46328</x:v>
      </x:c>
      <x:c r="F112" s="75" t="n">
        <x:v>46328</x:v>
      </x:c>
      <x:c r="G112" s="74" t="str">
        <x:v>M2-A18</x:v>
      </x:c>
      <x:c r="H112" s="74" t="str">
        <x:v>조건·실제 결과·원본 로그·원인 분석</x:v>
      </x:c>
      <x:c r="I112" s="74" t="str">
        <x:v>PL 및 개선 담당</x:v>
      </x:c>
      <x:c r="J112" s="74" t="str">
        <x:v>#20</x:v>
      </x:c>
      <x:c r="K112" s="74" t="str">
        <x:v>조정안</x:v>
      </x:c>
      <x:c r="L112" s="74" t="str">
        <x:v>10/30 AS-IS 인수 후 실행. 실패/미재현 결과도 사실대로 기록</x:v>
      </x:c>
    </x:row>
    <x:row r="113" ht="70" customHeight="1">
      <x:c r="A113" s="78" t="str">
        <x:v>M2-T01</x:v>
      </x:c>
      <x:c r="B113" s="78" t="str">
        <x:v>TO-BE</x:v>
      </x:c>
      <x:c r="C113" s="74" t="str">
        <x:v>공격 근거 기반 정책·변경표·롤백 설계</x:v>
      </x:c>
      <x:c r="D113" s="74" t="str">
        <x:v>M2</x:v>
      </x:c>
      <x:c r="E113" s="75" t="n">
        <x:v>46329</x:v>
      </x:c>
      <x:c r="F113" s="75" t="n">
        <x:v>46329</x:v>
      </x:c>
      <x:c r="G113" s="74" t="str">
        <x:v>M2-S01</x:v>
      </x:c>
      <x:c r="H113" s="74" t="str">
        <x:v>전후 설계·정책 근거·검증 방법</x:v>
      </x:c>
      <x:c r="I113" s="74" t="str">
        <x:v>PL</x:v>
      </x:c>
      <x:c r="J113" s="74" t="str">
        <x:v>#21</x:v>
      </x:c>
      <x:c r="K113" s="74" t="str">
        <x:v>조정안</x:v>
      </x:c>
      <x:c r="L113" s="74" t="str">
        <x:v>M5 S05는 M3 설정 소유. 앱 코드를 다른 망 담당에게 배정하지 않음</x:v>
      </x:c>
    </x:row>
    <x:row r="114" ht="70" customHeight="1">
      <x:c r="A114" s="78" t="str">
        <x:v>M2-T02</x:v>
      </x:c>
      <x:c r="B114" s="78" t="str">
        <x:v>TO-BE</x:v>
      </x:c>
      <x:c r="C114" s="74" t="str">
        <x:v>Wazuh 로그 수집·탐지·선정 대응·해제</x:v>
      </x:c>
      <x:c r="D114" s="74" t="str">
        <x:v>M2</x:v>
      </x:c>
      <x:c r="E114" s="75" t="n">
        <x:v>46330</x:v>
      </x:c>
      <x:c r="F114" s="75" t="n">
        <x:v>46331</x:v>
      </x:c>
      <x:c r="G114" s="74" t="str">
        <x:v>M2-T01</x:v>
      </x:c>
      <x:c r="H114" s="74" t="str">
        <x:v>실제 적용 결과·정상 업무 유지·롤백</x:v>
      </x:c>
      <x:c r="I114" s="74" t="str">
        <x:v>공동 시험 담당</x:v>
      </x:c>
      <x:c r="J114" s="74" t="str">
        <x:v>#21</x:v>
      </x:c>
      <x:c r="K114" s="74" t="str">
        <x:v>조정안</x:v>
      </x:c>
      <x:c r="L114" s="74" t="str">
        <x:v>실측 효과를 확인. 도구 설치/정책 입력만으로 효과 판정 금지</x:v>
      </x:c>
    </x:row>
    <x:row r="115" ht="70" customHeight="1">
      <x:c r="A115" s="78" t="str">
        <x:v>M2-T03</x:v>
      </x:c>
      <x:c r="B115" s="78" t="str">
        <x:v>통합</x:v>
      </x:c>
      <x:c r="C115" s="74" t="str">
        <x:v>독일 게시판·승인 SSH·원본 로그 중간 확인</x:v>
      </x:c>
      <x:c r="D115" s="74" t="str">
        <x:v>M2</x:v>
      </x:c>
      <x:c r="E115" s="75" t="n">
        <x:v>46332</x:v>
      </x:c>
      <x:c r="F115" s="75" t="n">
        <x:v>46332</x:v>
      </x:c>
      <x:c r="G115" s="74" t="str">
        <x:v>M2-T02</x:v>
      </x:c>
      <x:c r="H115" s="74" t="str">
        <x:v>보안·정상 업무 결과·미해결 항목</x:v>
      </x:c>
      <x:c r="I115" s="74" t="str">
        <x:v>PM·PL</x:v>
      </x:c>
      <x:c r="J115" s="74" t="str">
        <x:v>#21</x:v>
      </x:c>
      <x:c r="K115" s="74" t="str">
        <x:v>조정안</x:v>
      </x:c>
      <x:c r="L115" s="74" t="str">
        <x:v>AI 포함 앱 최종 인수 목표는 11/09. 인프라 개선 확인과 구분</x:v>
      </x:c>
    </x:row>
    <x:row r="116" ht="70" customHeight="1">
      <x:c r="A116" s="78" t="str">
        <x:v>M2-R01</x:v>
      </x:c>
      <x:c r="B116" s="78" t="str">
        <x:v>재검증</x:v>
      </x:c>
      <x:c r="C116" s="74" t="str">
        <x:v>동일 조건 재시험·정상 업무 회귀</x:v>
      </x:c>
      <x:c r="D116" s="74" t="str">
        <x:v>M2</x:v>
      </x:c>
      <x:c r="E116" s="75" t="n">
        <x:v>46335</x:v>
      </x:c>
      <x:c r="F116" s="75" t="n">
        <x:v>46336</x:v>
      </x:c>
      <x:c r="G116" s="74" t="str">
        <x:v>M2-T03</x:v>
      </x:c>
      <x:c r="H116" s="74" t="str">
        <x:v>전/후 비교·정상 업무·실패 원인·확인자</x:v>
      </x:c>
      <x:c r="I116" s="74" t="str">
        <x:v>보고서 담당</x:v>
      </x:c>
      <x:c r="J116" s="74" t="str">
        <x:v>#22</x:v>
      </x:c>
      <x:c r="K116" s="74" t="str">
        <x:v>조정안</x:v>
      </x:c>
      <x:c r="L116" s="74" t="str">
        <x:v>출발지·계정·대상·횟수 유지</x:v>
      </x:c>
    </x:row>
    <x:row r="117" ht="70" customHeight="1">
      <x:c r="A117" s="78" t="str">
        <x:v>M2-F01</x:v>
      </x:c>
      <x:c r="B117" s="78" t="str">
        <x:v>결과 정리</x:v>
      </x:c>
      <x:c r="C117" s="74" t="str">
        <x:v>담당망 증거·한계·발표자료 정리</x:v>
      </x:c>
      <x:c r="D117" s="74" t="str">
        <x:v>M2</x:v>
      </x:c>
      <x:c r="E117" s="75" t="n">
        <x:v>46337</x:v>
      </x:c>
      <x:c r="F117" s="75" t="n">
        <x:v>46338</x:v>
      </x:c>
      <x:c r="G117" s="74" t="str">
        <x:v>M2-R01</x:v>
      </x:c>
      <x:c r="H117" s="74" t="str">
        <x:v>설계 이유·본인 기여·전후 근거·대체 시연</x:v>
      </x:c>
      <x:c r="I117" s="74" t="str">
        <x:v>PM</x:v>
      </x:c>
      <x:c r="J117" s="74" t="str">
        <x:v>#23</x:v>
      </x:c>
      <x:c r="K117" s="74" t="str">
        <x:v>조정안</x:v>
      </x:c>
      <x:c r="L117" s="74" t="str">
        <x:v>자기 망 기술서는 각 담당이 작성. PM이 전부 대필하지 않음</x:v>
      </x:c>
    </x:row>
    <x:row r="118" ht="70" customHeight="1">
      <x:c r="A118" s="79" t="str">
        <x:v>M3-S01</x:v>
      </x:c>
      <x:c r="B118" s="79" t="str">
        <x:v>공격·분석</x:v>
      </x:c>
      <x:c r="C118" s="74" t="str">
        <x:v>S03 비인가 K8s 관리 API 도달 시험</x:v>
      </x:c>
      <x:c r="D118" s="74" t="str">
        <x:v>M3</x:v>
      </x:c>
      <x:c r="E118" s="75" t="n">
        <x:v>46328</x:v>
      </x:c>
      <x:c r="F118" s="75" t="n">
        <x:v>46328</x:v>
      </x:c>
      <x:c r="G118" s="74" t="str">
        <x:v>M3-A13</x:v>
      </x:c>
      <x:c r="H118" s="74" t="str">
        <x:v>조건·실제 결과·원본 로그·원인 분석</x:v>
      </x:c>
      <x:c r="I118" s="74" t="str">
        <x:v>PL 및 개선 담당</x:v>
      </x:c>
      <x:c r="J118" s="74" t="str">
        <x:v>#25</x:v>
      </x:c>
      <x:c r="K118" s="74" t="str">
        <x:v>조정안</x:v>
      </x:c>
      <x:c r="L118" s="74" t="str">
        <x:v>10/30 AS-IS 인수 후 실행. 실패/미재현 결과도 사실대로 기록</x:v>
      </x:c>
    </x:row>
    <x:row r="119" ht="70" customHeight="1">
      <x:c r="A119" s="79" t="str">
        <x:v>M3-T01</x:v>
      </x:c>
      <x:c r="B119" s="79" t="str">
        <x:v>TO-BE</x:v>
      </x:c>
      <x:c r="C119" s="74" t="str">
        <x:v>공격 근거 기반 정책·변경표·롤백 설계</x:v>
      </x:c>
      <x:c r="D119" s="74" t="str">
        <x:v>M3</x:v>
      </x:c>
      <x:c r="E119" s="75" t="n">
        <x:v>46329</x:v>
      </x:c>
      <x:c r="F119" s="75" t="n">
        <x:v>46329</x:v>
      </x:c>
      <x:c r="G119" s="74" t="str">
        <x:v>M3-S01</x:v>
      </x:c>
      <x:c r="H119" s="74" t="str">
        <x:v>전후 설계·정책 근거·검증 방법</x:v>
      </x:c>
      <x:c r="I119" s="74" t="str">
        <x:v>PL</x:v>
      </x:c>
      <x:c r="J119" s="74" t="str">
        <x:v>#26</x:v>
      </x:c>
      <x:c r="K119" s="74" t="str">
        <x:v>조정안</x:v>
      </x:c>
      <x:c r="L119" s="74" t="str">
        <x:v>M5 S05는 M3 설정 소유. 앱 코드를 다른 망 담당에게 배정하지 않음</x:v>
      </x:c>
    </x:row>
    <x:row r="120" ht="70" customHeight="1">
      <x:c r="A120" s="79" t="str">
        <x:v>M3-T02</x:v>
      </x:c>
      <x:c r="B120" s="79" t="str">
        <x:v>TO-BE</x:v>
      </x:c>
      <x:c r="C120" s="74" t="str">
        <x:v>UTM3 S03/S05 정책·앱 분산 검증</x:v>
      </x:c>
      <x:c r="D120" s="74" t="str">
        <x:v>M3</x:v>
      </x:c>
      <x:c r="E120" s="75" t="n">
        <x:v>46330</x:v>
      </x:c>
      <x:c r="F120" s="75" t="n">
        <x:v>46331</x:v>
      </x:c>
      <x:c r="G120" s="74" t="str">
        <x:v>M3-T01</x:v>
      </x:c>
      <x:c r="H120" s="74" t="str">
        <x:v>실제 적용 결과·정상 업무 유지·롤백</x:v>
      </x:c>
      <x:c r="I120" s="74" t="str">
        <x:v>공동 시험 담당</x:v>
      </x:c>
      <x:c r="J120" s="74" t="str">
        <x:v>#26</x:v>
      </x:c>
      <x:c r="K120" s="74" t="str">
        <x:v>조정안</x:v>
      </x:c>
      <x:c r="L120" s="74" t="str">
        <x:v>실측 효과를 확인. 도구 설치/정책 입력만으로 효과 판정 금지</x:v>
      </x:c>
    </x:row>
    <x:row r="121" ht="70" customHeight="1">
      <x:c r="A121" s="79" t="str">
        <x:v>M3-T03</x:v>
      </x:c>
      <x:c r="B121" s="79" t="str">
        <x:v>통합</x:v>
      </x:c>
      <x:c r="C121" s="74" t="str">
        <x:v>OTT·승인 API/ESXi 관리·백업 중간 확인</x:v>
      </x:c>
      <x:c r="D121" s="74" t="str">
        <x:v>M3</x:v>
      </x:c>
      <x:c r="E121" s="75" t="n">
        <x:v>46332</x:v>
      </x:c>
      <x:c r="F121" s="75" t="n">
        <x:v>46332</x:v>
      </x:c>
      <x:c r="G121" s="74" t="str">
        <x:v>M3-T02</x:v>
      </x:c>
      <x:c r="H121" s="74" t="str">
        <x:v>보안·정상 업무 결과·미해결 항목</x:v>
      </x:c>
      <x:c r="I121" s="74" t="str">
        <x:v>PM·PL</x:v>
      </x:c>
      <x:c r="J121" s="74" t="str">
        <x:v>#26</x:v>
      </x:c>
      <x:c r="K121" s="74" t="str">
        <x:v>조정안</x:v>
      </x:c>
      <x:c r="L121" s="74" t="str">
        <x:v>AI 포함 앱 최종 인수 목표는 11/09. 인프라 개선 확인과 구분</x:v>
      </x:c>
    </x:row>
    <x:row r="122" ht="70" customHeight="1">
      <x:c r="A122" s="79" t="str">
        <x:v>M3-R01</x:v>
      </x:c>
      <x:c r="B122" s="79" t="str">
        <x:v>재검증</x:v>
      </x:c>
      <x:c r="C122" s="74" t="str">
        <x:v>동일 조건 재시험·정상 업무 회귀</x:v>
      </x:c>
      <x:c r="D122" s="74" t="str">
        <x:v>M3</x:v>
      </x:c>
      <x:c r="E122" s="75" t="n">
        <x:v>46335</x:v>
      </x:c>
      <x:c r="F122" s="75" t="n">
        <x:v>46336</x:v>
      </x:c>
      <x:c r="G122" s="74" t="str">
        <x:v>M3-T03</x:v>
      </x:c>
      <x:c r="H122" s="74" t="str">
        <x:v>전/후 비교·정상 업무·실패 원인·확인자</x:v>
      </x:c>
      <x:c r="I122" s="74" t="str">
        <x:v>보고서 담당</x:v>
      </x:c>
      <x:c r="J122" s="74" t="str">
        <x:v>#27</x:v>
      </x:c>
      <x:c r="K122" s="74" t="str">
        <x:v>조정안</x:v>
      </x:c>
      <x:c r="L122" s="74" t="str">
        <x:v>출발지·계정·대상·횟수 유지</x:v>
      </x:c>
    </x:row>
    <x:row r="123" ht="70" customHeight="1">
      <x:c r="A123" s="79" t="str">
        <x:v>M3-F01</x:v>
      </x:c>
      <x:c r="B123" s="79" t="str">
        <x:v>결과 정리</x:v>
      </x:c>
      <x:c r="C123" s="74" t="str">
        <x:v>담당망 증거·한계·발표자료 정리</x:v>
      </x:c>
      <x:c r="D123" s="74" t="str">
        <x:v>M3</x:v>
      </x:c>
      <x:c r="E123" s="75" t="n">
        <x:v>46337</x:v>
      </x:c>
      <x:c r="F123" s="75" t="n">
        <x:v>46338</x:v>
      </x:c>
      <x:c r="G123" s="74" t="str">
        <x:v>M3-R01</x:v>
      </x:c>
      <x:c r="H123" s="74" t="str">
        <x:v>설계 이유·본인 기여·전후 근거·대체 시연</x:v>
      </x:c>
      <x:c r="I123" s="74" t="str">
        <x:v>PM</x:v>
      </x:c>
      <x:c r="J123" s="74" t="str">
        <x:v>#28</x:v>
      </x:c>
      <x:c r="K123" s="74" t="str">
        <x:v>조정안</x:v>
      </x:c>
      <x:c r="L123" s="74" t="str">
        <x:v>자기 망 기술서는 각 담당이 작성. PM이 전부 대필하지 않음</x:v>
      </x:c>
    </x:row>
    <x:row r="124" ht="70" customHeight="1">
      <x:c r="A124" s="80" t="str">
        <x:v>M4-S01</x:v>
      </x:c>
      <x:c r="B124" s="80" t="str">
        <x:v>공격·분석</x:v>
      </x:c>
      <x:c r="C124" s="74" t="str">
        <x:v>S04 시험 계정의 가짜 백업 파일 접근</x:v>
      </x:c>
      <x:c r="D124" s="74" t="str">
        <x:v>M4</x:v>
      </x:c>
      <x:c r="E124" s="75" t="n">
        <x:v>46328</x:v>
      </x:c>
      <x:c r="F124" s="75" t="n">
        <x:v>46328</x:v>
      </x:c>
      <x:c r="G124" s="74" t="str">
        <x:v>M4-A18</x:v>
      </x:c>
      <x:c r="H124" s="74" t="str">
        <x:v>조건·실제 결과·원본 로그·원인 분석</x:v>
      </x:c>
      <x:c r="I124" s="74" t="str">
        <x:v>PL 및 개선 담당</x:v>
      </x:c>
      <x:c r="J124" s="74" t="str">
        <x:v>#30</x:v>
      </x:c>
      <x:c r="K124" s="74" t="str">
        <x:v>조정안</x:v>
      </x:c>
      <x:c r="L124" s="74" t="str">
        <x:v>10/30 AS-IS 인수 후 실행. 실패/미재현 결과도 사실대로 기록</x:v>
      </x:c>
    </x:row>
    <x:row r="125" ht="70" customHeight="1">
      <x:c r="A125" s="80" t="str">
        <x:v>M4-T01</x:v>
      </x:c>
      <x:c r="B125" s="80" t="str">
        <x:v>TO-BE</x:v>
      </x:c>
      <x:c r="C125" s="74" t="str">
        <x:v>공격 근거 기반 정책·변경표·롤백 설계</x:v>
      </x:c>
      <x:c r="D125" s="74" t="str">
        <x:v>M4</x:v>
      </x:c>
      <x:c r="E125" s="75" t="n">
        <x:v>46329</x:v>
      </x:c>
      <x:c r="F125" s="75" t="n">
        <x:v>46329</x:v>
      </x:c>
      <x:c r="G125" s="74" t="str">
        <x:v>M4-S01</x:v>
      </x:c>
      <x:c r="H125" s="74" t="str">
        <x:v>전후 설계·정책 근거·검증 방법</x:v>
      </x:c>
      <x:c r="I125" s="74" t="str">
        <x:v>PL</x:v>
      </x:c>
      <x:c r="J125" s="74" t="str">
        <x:v>#31</x:v>
      </x:c>
      <x:c r="K125" s="74" t="str">
        <x:v>조정안</x:v>
      </x:c>
      <x:c r="L125" s="74" t="str">
        <x:v>M5 S05는 M3 설정 소유. 앱 코드를 다른 망 담당에게 배정하지 않음</x:v>
      </x:c>
    </x:row>
    <x:row r="126" ht="70" customHeight="1">
      <x:c r="A126" s="80" t="str">
        <x:v>M4-T02</x:v>
      </x:c>
      <x:c r="B126" s="80" t="str">
        <x:v>TO-BE</x:v>
      </x:c>
      <x:c r="C126" s="74" t="str">
        <x:v>파일/디렉터리 권한·감사·정상 백업 유지</x:v>
      </x:c>
      <x:c r="D126" s="74" t="str">
        <x:v>M4</x:v>
      </x:c>
      <x:c r="E126" s="75" t="n">
        <x:v>46330</x:v>
      </x:c>
      <x:c r="F126" s="75" t="n">
        <x:v>46331</x:v>
      </x:c>
      <x:c r="G126" s="74" t="str">
        <x:v>M4-T01</x:v>
      </x:c>
      <x:c r="H126" s="74" t="str">
        <x:v>실제 적용 결과·정상 업무 유지·롤백</x:v>
      </x:c>
      <x:c r="I126" s="74" t="str">
        <x:v>공동 시험 담당</x:v>
      </x:c>
      <x:c r="J126" s="74" t="str">
        <x:v>#31</x:v>
      </x:c>
      <x:c r="K126" s="74" t="str">
        <x:v>조정안</x:v>
      </x:c>
      <x:c r="L126" s="74" t="str">
        <x:v>실측 효과를 확인. 도구 설치/정책 입력만으로 효과 판정 금지</x:v>
      </x:c>
    </x:row>
    <x:row r="127" ht="70" customHeight="1">
      <x:c r="A127" s="80" t="str">
        <x:v>M4-T03</x:v>
      </x:c>
      <x:c r="B127" s="80" t="str">
        <x:v>통합</x:v>
      </x:c>
      <x:c r="C127" s="74" t="str">
        <x:v>승인 백업·복원·Proxy SQL 중간 확인</x:v>
      </x:c>
      <x:c r="D127" s="74" t="str">
        <x:v>M4</x:v>
      </x:c>
      <x:c r="E127" s="75" t="n">
        <x:v>46332</x:v>
      </x:c>
      <x:c r="F127" s="75" t="n">
        <x:v>46332</x:v>
      </x:c>
      <x:c r="G127" s="74" t="str">
        <x:v>M4-T02</x:v>
      </x:c>
      <x:c r="H127" s="74" t="str">
        <x:v>보안·정상 업무 결과·미해결 항목</x:v>
      </x:c>
      <x:c r="I127" s="74" t="str">
        <x:v>PM·PL</x:v>
      </x:c>
      <x:c r="J127" s="74" t="str">
        <x:v>#31</x:v>
      </x:c>
      <x:c r="K127" s="74" t="str">
        <x:v>조정안</x:v>
      </x:c>
      <x:c r="L127" s="74" t="str">
        <x:v>AI 포함 앱 최종 인수 목표는 11/09. 인프라 개선 확인과 구분</x:v>
      </x:c>
    </x:row>
    <x:row r="128" ht="70" customHeight="1">
      <x:c r="A128" s="80" t="str">
        <x:v>M4-R01</x:v>
      </x:c>
      <x:c r="B128" s="80" t="str">
        <x:v>재검증</x:v>
      </x:c>
      <x:c r="C128" s="74" t="str">
        <x:v>동일 조건 재시험·정상 업무 회귀</x:v>
      </x:c>
      <x:c r="D128" s="74" t="str">
        <x:v>M4</x:v>
      </x:c>
      <x:c r="E128" s="75" t="n">
        <x:v>46335</x:v>
      </x:c>
      <x:c r="F128" s="75" t="n">
        <x:v>46336</x:v>
      </x:c>
      <x:c r="G128" s="74" t="str">
        <x:v>M4-T03</x:v>
      </x:c>
      <x:c r="H128" s="74" t="str">
        <x:v>전/후 비교·정상 업무·실패 원인·확인자</x:v>
      </x:c>
      <x:c r="I128" s="74" t="str">
        <x:v>보고서 담당</x:v>
      </x:c>
      <x:c r="J128" s="74" t="str">
        <x:v>#32</x:v>
      </x:c>
      <x:c r="K128" s="74" t="str">
        <x:v>조정안</x:v>
      </x:c>
      <x:c r="L128" s="74" t="str">
        <x:v>출발지·계정·대상·횟수 유지</x:v>
      </x:c>
    </x:row>
    <x:row r="129" ht="70" customHeight="1">
      <x:c r="A129" s="80" t="str">
        <x:v>M4-F01</x:v>
      </x:c>
      <x:c r="B129" s="80" t="str">
        <x:v>결과 정리</x:v>
      </x:c>
      <x:c r="C129" s="74" t="str">
        <x:v>담당망 증거·한계·발표자료 정리</x:v>
      </x:c>
      <x:c r="D129" s="74" t="str">
        <x:v>M4</x:v>
      </x:c>
      <x:c r="E129" s="75" t="n">
        <x:v>46337</x:v>
      </x:c>
      <x:c r="F129" s="75" t="n">
        <x:v>46338</x:v>
      </x:c>
      <x:c r="G129" s="74" t="str">
        <x:v>M4-R01</x:v>
      </x:c>
      <x:c r="H129" s="74" t="str">
        <x:v>설계 이유·본인 기여·전후 근거·대체 시연</x:v>
      </x:c>
      <x:c r="I129" s="74" t="str">
        <x:v>PM</x:v>
      </x:c>
      <x:c r="J129" s="74" t="str">
        <x:v>#33</x:v>
      </x:c>
      <x:c r="K129" s="74" t="str">
        <x:v>조정안</x:v>
      </x:c>
      <x:c r="L129" s="74" t="str">
        <x:v>자기 망 기술서는 각 담당이 작성. PM이 전부 대필하지 않음</x:v>
      </x:c>
    </x:row>
    <x:row r="130" ht="70" customHeight="1">
      <x:c r="A130" s="81" t="str">
        <x:v>M5-S01</x:v>
      </x:c>
      <x:c r="B130" s="81" t="str">
        <x:v>공격·분석</x:v>
      </x:c>
      <x:c r="C130" s="74" t="str">
        <x:v>S05 캐나다→격리 Test DB 접근 시험</x:v>
      </x:c>
      <x:c r="D130" s="74" t="str">
        <x:v>M5</x:v>
      </x:c>
      <x:c r="E130" s="75" t="n">
        <x:v>46328</x:v>
      </x:c>
      <x:c r="F130" s="75" t="n">
        <x:v>46328</x:v>
      </x:c>
      <x:c r="G130" s="74" t="str">
        <x:v>M5-A06</x:v>
      </x:c>
      <x:c r="H130" s="74" t="str">
        <x:v>조건·실제 결과·원본 로그·원인 분석</x:v>
      </x:c>
      <x:c r="I130" s="74" t="str">
        <x:v>PL 및 개선 담당</x:v>
      </x:c>
      <x:c r="J130" s="74" t="str">
        <x:v>#35</x:v>
      </x:c>
      <x:c r="K130" s="74" t="str">
        <x:v>조정안</x:v>
      </x:c>
      <x:c r="L130" s="74" t="str">
        <x:v>10/30 AS-IS 인수 후 실행. 실패/미재현 결과도 사실대로 기록</x:v>
      </x:c>
    </x:row>
    <x:row r="131" ht="70" customHeight="1">
      <x:c r="A131" s="81" t="str">
        <x:v>M5-T01</x:v>
      </x:c>
      <x:c r="B131" s="81" t="str">
        <x:v>TO-BE</x:v>
      </x:c>
      <x:c r="C131" s="74" t="str">
        <x:v>공격 근거 기반 정책·변경표·롤백 설계</x:v>
      </x:c>
      <x:c r="D131" s="74" t="str">
        <x:v>M5</x:v>
      </x:c>
      <x:c r="E131" s="75" t="n">
        <x:v>46329</x:v>
      </x:c>
      <x:c r="F131" s="75" t="n">
        <x:v>46329</x:v>
      </x:c>
      <x:c r="G131" s="74" t="str">
        <x:v>M5-S01</x:v>
      </x:c>
      <x:c r="H131" s="74" t="str">
        <x:v>전후 설계·정책 근거·검증 방법</x:v>
      </x:c>
      <x:c r="I131" s="74" t="str">
        <x:v>PL</x:v>
      </x:c>
      <x:c r="J131" s="74" t="str">
        <x:v>#36</x:v>
      </x:c>
      <x:c r="K131" s="74" t="str">
        <x:v>조정안</x:v>
      </x:c>
      <x:c r="L131" s="74" t="str">
        <x:v>M5 S05는 M3 설정 소유. 앱 코드를 다른 망 담당에게 배정하지 않음</x:v>
      </x:c>
    </x:row>
    <x:row r="132" ht="70" customHeight="1">
      <x:c r="A132" s="81" t="str">
        <x:v>M5-T02</x:v>
      </x:c>
      <x:c r="B132" s="81" t="str">
        <x:v>TO-BE</x:v>
      </x:c>
      <x:c r="C132" s="74" t="str">
        <x:v>M3의 UTM3 적용·M5 동일조건 확인</x:v>
      </x:c>
      <x:c r="D132" s="74" t="str">
        <x:v>M5</x:v>
      </x:c>
      <x:c r="E132" s="75" t="n">
        <x:v>46330</x:v>
      </x:c>
      <x:c r="F132" s="75" t="n">
        <x:v>46331</x:v>
      </x:c>
      <x:c r="G132" s="74" t="str">
        <x:v>M5-T01</x:v>
      </x:c>
      <x:c r="H132" s="74" t="str">
        <x:v>실제 적용 결과·정상 업무 유지·롤백</x:v>
      </x:c>
      <x:c r="I132" s="74" t="str">
        <x:v>공동 시험 담당</x:v>
      </x:c>
      <x:c r="J132" s="74" t="str">
        <x:v>#36</x:v>
      </x:c>
      <x:c r="K132" s="74" t="str">
        <x:v>조정안</x:v>
      </x:c>
      <x:c r="L132" s="74" t="str">
        <x:v>실측 효과를 확인. 도구 설치/정책 입력만으로 효과 판정 금지</x:v>
      </x:c>
    </x:row>
    <x:row r="133" ht="70" customHeight="1">
      <x:c r="A133" s="81" t="str">
        <x:v>M5-T03</x:v>
      </x:c>
      <x:c r="B133" s="81" t="str">
        <x:v>통합</x:v>
      </x:c>
      <x:c r="C133" s="74" t="str">
        <x:v>VPN·게시판·Store 정상 업무 중간 확인</x:v>
      </x:c>
      <x:c r="D133" s="74" t="str">
        <x:v>M5</x:v>
      </x:c>
      <x:c r="E133" s="75" t="n">
        <x:v>46332</x:v>
      </x:c>
      <x:c r="F133" s="75" t="n">
        <x:v>46332</x:v>
      </x:c>
      <x:c r="G133" s="74" t="str">
        <x:v>M5-T02</x:v>
      </x:c>
      <x:c r="H133" s="74" t="str">
        <x:v>보안·정상 업무 결과·미해결 항목</x:v>
      </x:c>
      <x:c r="I133" s="74" t="str">
        <x:v>PM·PL</x:v>
      </x:c>
      <x:c r="J133" s="74" t="str">
        <x:v>#36</x:v>
      </x:c>
      <x:c r="K133" s="74" t="str">
        <x:v>조정안</x:v>
      </x:c>
      <x:c r="L133" s="74" t="str">
        <x:v>AI 포함 앱 최종 인수 목표는 11/09. 인프라 개선 확인과 구분</x:v>
      </x:c>
    </x:row>
    <x:row r="134" ht="70" customHeight="1">
      <x:c r="A134" s="81" t="str">
        <x:v>M5-R01</x:v>
      </x:c>
      <x:c r="B134" s="81" t="str">
        <x:v>재검증</x:v>
      </x:c>
      <x:c r="C134" s="74" t="str">
        <x:v>동일 조건 재시험·정상 업무 회귀</x:v>
      </x:c>
      <x:c r="D134" s="74" t="str">
        <x:v>M5</x:v>
      </x:c>
      <x:c r="E134" s="75" t="n">
        <x:v>46335</x:v>
      </x:c>
      <x:c r="F134" s="75" t="n">
        <x:v>46336</x:v>
      </x:c>
      <x:c r="G134" s="74" t="str">
        <x:v>M5-T03</x:v>
      </x:c>
      <x:c r="H134" s="74" t="str">
        <x:v>전/후 비교·정상 업무·실패 원인·확인자</x:v>
      </x:c>
      <x:c r="I134" s="74" t="str">
        <x:v>보고서 담당</x:v>
      </x:c>
      <x:c r="J134" s="74" t="str">
        <x:v>#37</x:v>
      </x:c>
      <x:c r="K134" s="74" t="str">
        <x:v>조정안</x:v>
      </x:c>
      <x:c r="L134" s="74" t="str">
        <x:v>출발지·계정·대상·횟수 유지</x:v>
      </x:c>
    </x:row>
    <x:row r="135" ht="70" customHeight="1">
      <x:c r="A135" s="81" t="str">
        <x:v>M5-F01</x:v>
      </x:c>
      <x:c r="B135" s="81" t="str">
        <x:v>결과 정리</x:v>
      </x:c>
      <x:c r="C135" s="74" t="str">
        <x:v>담당망 증거·한계·발표자료 정리</x:v>
      </x:c>
      <x:c r="D135" s="74" t="str">
        <x:v>M5</x:v>
      </x:c>
      <x:c r="E135" s="75" t="n">
        <x:v>46337</x:v>
      </x:c>
      <x:c r="F135" s="75" t="n">
        <x:v>46338</x:v>
      </x:c>
      <x:c r="G135" s="74" t="str">
        <x:v>M5-R01</x:v>
      </x:c>
      <x:c r="H135" s="74" t="str">
        <x:v>설계 이유·본인 기여·전후 근거·대체 시연</x:v>
      </x:c>
      <x:c r="I135" s="74" t="str">
        <x:v>PM</x:v>
      </x:c>
      <x:c r="J135" s="74" t="str">
        <x:v>#38</x:v>
      </x:c>
      <x:c r="K135" s="74" t="str">
        <x:v>조정안</x:v>
      </x:c>
      <x:c r="L135" s="74" t="str">
        <x:v>자기 망 기술서는 각 담당이 작성. PM이 전부 대필하지 않음</x:v>
      </x:c>
    </x:row>
    <x:row r="136" ht="70" customHeight="1">
      <x:c r="A136" s="79" t="str">
        <x:v>M3-H01</x:v>
      </x:c>
      <x:c r="B136" s="79" t="str">
        <x:v>가용성</x:v>
      </x:c>
      <x:c r="C136" s="74" t="str">
        <x:v>Worker 분산·노드 중단·복구 시험</x:v>
      </x:c>
      <x:c r="D136" s="74" t="str">
        <x:v>M3</x:v>
      </x:c>
      <x:c r="E136" s="75" t="n">
        <x:v>46331</x:v>
      </x:c>
      <x:c r="F136" s="75" t="n">
        <x:v>46336</x:v>
      </x:c>
      <x:c r="G136" s="74" t="str">
        <x:v>M3-T02, DEV15</x:v>
      </x:c>
      <x:c r="H136" s="74" t="str">
        <x:v>Pod 분산·노드 장애 시 범위·복구 결과</x:v>
      </x:c>
      <x:c r="I136" s="74" t="str">
        <x:v>M5·PL</x:v>
      </x:c>
      <x:c r="J136" s="74" t="str">
        <x:v>#11</x:v>
      </x:c>
      <x:c r="K136" s="74" t="str">
        <x:v>미확인</x:v>
      </x:c>
      <x:c r="L136" s="74" t="str">
        <x:v>ESXi Host 1대는 전체 Host HA가 아님. Nginx B/VIP는 자원·남은 작업 시간 판정 후 적용</x:v>
      </x:c>
    </x:row>
    <x:row r="137" ht="70" customHeight="1">
      <x:c r="A137" s="80" t="str">
        <x:v>M4-R02</x:v>
      </x:c>
      <x:c r="B137" s="80" t="str">
        <x:v>복구</x:v>
      </x:c>
      <x:c r="C137" s="74" t="str">
        <x:v>복제·S3·로컬/AWS 복원 재검증</x:v>
      </x:c>
      <x:c r="D137" s="74" t="str">
        <x:v>M4</x:v>
      </x:c>
      <x:c r="E137" s="75" t="n">
        <x:v>46335</x:v>
      </x:c>
      <x:c r="F137" s="75" t="n">
        <x:v>46336</x:v>
      </x:c>
      <x:c r="G137" s="74" t="str">
        <x:v>M4-T03, M4-A20</x:v>
      </x:c>
      <x:c r="H137" s="74" t="str">
        <x:v>실제 데이터·복구 소요·누락 범위·정리 결과</x:v>
      </x:c>
      <x:c r="I137" s="74" t="str">
        <x:v>PL</x:v>
      </x:c>
      <x:c r="J137" s="74" t="str">
        <x:v>#10</x:v>
      </x:c>
      <x:c r="K137" s="74" t="str">
        <x:v>미확인</x:v>
      </x:c>
      <x:c r="L137" s="74" t="str">
        <x:v>ProxySQL 자동 승격·장애조치는 필수 범위로 추가하지 않음</x:v>
      </x:c>
    </x:row>
    <x:row r="138" ht="70" customHeight="1">
      <x:c r="A138" s="76" t="str">
        <x:v>F01</x:v>
      </x:c>
      <x:c r="B138" s="76" t="str">
        <x:v>결과 정리</x:v>
      </x:c>
      <x:c r="C138" s="74" t="str">
        <x:v>보고서·발표자료 취합·기술 검토</x:v>
      </x:c>
      <x:c r="D138" s="74" t="str">
        <x:v>PM·PL</x:v>
      </x:c>
      <x:c r="E138" s="75" t="n">
        <x:v>46337</x:v>
      </x:c>
      <x:c r="F138" s="75" t="n">
        <x:v>46338</x:v>
      </x:c>
      <x:c r="G138" s="74" t="str">
        <x:v>M1-F01, M2-F01, M3-F01, M4-F01, M5-F01</x:v>
      </x:c>
      <x:c r="H138" s="74" t="str">
        <x:v>완료/미수행 구분·전원 기여·검증 근거</x:v>
      </x:c>
      <x:c r="I138" s="74" t="str">
        <x:v>전원</x:v>
      </x:c>
      <x:c r="J138" s="74" t="str">
        <x:v>#13</x:v>
      </x:c>
      <x:c r="K138" s="74" t="str">
        <x:v>미확인</x:v>
      </x:c>
      <x:c r="L138" s="74" t="str">
        <x:v>초안은 담당이 병행 제출. 최종 취합은 증거 인계 후</x:v>
      </x:c>
    </x:row>
    <x:row r="139" ht="70" customHeight="1">
      <x:c r="A139" s="76" t="str">
        <x:v>F02</x:v>
      </x:c>
      <x:c r="B139" s="76" t="str">
        <x:v>발표</x:v>
      </x:c>
      <x:c r="C139" s="74" t="str">
        <x:v>전원 리허설·대체 시연 확인</x:v>
      </x:c>
      <x:c r="D139" s="74" t="str">
        <x:v>전원</x:v>
      </x:c>
      <x:c r="E139" s="75" t="n">
        <x:v>46339</x:v>
      </x:c>
      <x:c r="F139" s="75" t="n">
        <x:v>46339</x:v>
      </x:c>
      <x:c r="G139" s="74" t="str">
        <x:v>F01</x:v>
      </x:c>
      <x:c r="H139" s="74" t="str">
        <x:v>시간 내 발표·실패 시 캡처/영상·담당별 설명</x:v>
      </x:c>
      <x:c r="I139" s="74" t="str">
        <x:v>PM</x:v>
      </x:c>
      <x:c r="J139" s="74" t="str">
        <x:v>#13</x:v>
      </x:c>
      <x:c r="K139" s="74" t="str">
        <x:v>미확인</x:v>
      </x:c>
      <x:c r="L139" s="74" t="str"/>
    </x:row>
    <x:row r="140" ht="70" customHeight="1">
      <x:c r="A140" s="76" t="str">
        <x:v>F03</x:v>
      </x:c>
      <x:c r="B140" s="76" t="str">
        <x:v>발표</x:v>
      </x:c>
      <x:c r="C140" s="74" t="str">
        <x:v>파일·링크·기동·정리 대상 점검</x:v>
      </x:c>
      <x:c r="D140" s="74" t="str">
        <x:v>전원</x:v>
      </x:c>
      <x:c r="E140" s="75" t="n">
        <x:v>46340</x:v>
      </x:c>
      <x:c r="F140" s="75" t="n">
        <x:v>46340</x:v>
      </x:c>
      <x:c r="G140" s="74" t="str">
        <x:v>F02</x:v>
      </x:c>
      <x:c r="H140" s="74" t="str">
        <x:v>발표본·재생성/기동 절차·자원 정리표</x:v>
      </x:c>
      <x:c r="I140" s="74" t="str">
        <x:v>전원</x:v>
      </x:c>
      <x:c r="J140" s="74" t="str">
        <x:v>#13</x:v>
      </x:c>
      <x:c r="K140" s="74" t="str">
        <x:v>미확인</x:v>
      </x:c>
      <x:c r="L140" s="74" t="str">
        <x:v>주말 작업 가능자는 담당별 확인. 본 검토는 온라인 점검 위주</x:v>
      </x:c>
    </x:row>
    <x:row r="141" ht="70" customHeight="1">
      <x:c r="A141" s="76" t="str">
        <x:v>F04</x:v>
      </x:c>
      <x:c r="B141" s="76" t="str">
        <x:v>발표</x:v>
      </x:c>
      <x:c r="C141" s="74" t="str">
        <x:v>최종 발표·실습 자원 정리</x:v>
      </x:c>
      <x:c r="D141" s="74" t="str">
        <x:v>전원</x:v>
      </x:c>
      <x:c r="E141" s="75" t="n">
        <x:v>46342</x:v>
      </x:c>
      <x:c r="F141" s="75" t="n">
        <x:v>46342</x:v>
      </x:c>
      <x:c r="G141" s="74" t="str">
        <x:v>F03</x:v>
      </x:c>
      <x:c r="H141" s="74" t="str">
        <x:v>시연·발표·불필요 AWS 자원 삭제 확인</x:v>
      </x:c>
      <x:c r="I141" s="74" t="str">
        <x:v>전원</x:v>
      </x:c>
      <x:c r="J141" s="74" t="str">
        <x:v>#13</x:v>
      </x:c>
      <x:c r="K141" s="74" t="str">
        <x:v>미확인</x:v>
      </x:c>
      <x:c r="L141" s="74" t="str"/>
    </x:row>
  </x:sheetData>
  <x:conditionalFormatting sqref="K6:K141">
    <x:cfRule type="containsText" dxfId="0" priority="1" operator="containsText" text="Blocked"/>
    <x:cfRule type="containsText" dxfId="1" priority="2" operator="containsText" text="조정안"/>
  </x:conditionalFormatting>
  <x:dataValidations count="1">
    <x:dataValidation type="list" sqref="K6:K141">
      <x:formula1>"미확인,기존 성공 보고,검토 작성,조정안,진행 중,Blocked,In review,완료"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d10e65ebc0d4e34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2" hidden="0" customWidth="1"/>
    <x:col min="2" max="2" width="16" hidden="0" customWidth="1"/>
    <x:col min="3" max="3" width="20" hidden="0" customWidth="1"/>
    <x:col min="4" max="4" width="20" hidden="0" customWidth="1"/>
    <x:col min="5" max="5" width="60" hidden="0" customWidth="1"/>
    <x:col min="6" max="6" width="32" hidden="0" customWidth="1"/>
    <x:col min="7" max="7" width="32" hidden="0" customWidth="1"/>
    <x:col min="8" max="8" width="62" hidden="0" customWidth="1"/>
  </x:cols>
  <x:sheetData>
    <x:row r="1">
      <x:c r="A1" s="67"/>
      <x:c r="B1" s="67"/>
      <x:c r="C1" s="67"/>
      <x:c r="D1" s="67"/>
      <x:c r="E1" s="67"/>
      <x:c r="F1" s="67"/>
      <x:c r="G1" s="67"/>
      <x:c r="H1" s="67"/>
    </x:row>
    <x:row r="2">
      <x:c r="A2" s="68" t="str">
        <x:v>변경·인계 · 2026.10.26</x:v>
      </x:c>
      <x:c r="B2" s="67"/>
      <x:c r="C2" s="67"/>
      <x:c r="D2" s="67"/>
      <x:c r="E2" s="67"/>
      <x:c r="F2" s="67"/>
      <x:c r="G2" s="67"/>
      <x:c r="H2" s="67"/>
    </x:row>
    <x:row r="3">
      <x:c r="A3" s="67" t="str">
        <x:v>목표 일정과 실제 완료는 구분. 상세 주소·설정·증거는 팀 기술서에 기록.</x:v>
      </x:c>
      <x:c r="B3" s="67"/>
      <x:c r="C3" s="67"/>
      <x:c r="D3" s="67"/>
      <x:c r="E3" s="67"/>
      <x:c r="F3" s="67"/>
      <x:c r="G3" s="67"/>
      <x:c r="H3" s="67"/>
    </x:row>
    <x:row r="4">
      <x:c r="A4" s="67"/>
      <x:c r="B4" s="67"/>
      <x:c r="C4" s="67"/>
      <x:c r="D4" s="67"/>
      <x:c r="E4" s="67"/>
      <x:c r="F4" s="67"/>
      <x:c r="G4" s="67"/>
      <x:c r="H4" s="67"/>
    </x:row>
    <x:row r="5" ht="30" customHeight="1">
      <x:c r="A5" s="73" t="str">
        <x:v>ID</x:v>
      </x:c>
      <x:c r="B5" s="73" t="str">
        <x:v>목표일</x:v>
      </x:c>
      <x:c r="C5" s="73" t="str">
        <x:v>보내는 담당</x:v>
      </x:c>
      <x:c r="D5" s="73" t="str">
        <x:v>받는 담당</x:v>
      </x:c>
      <x:c r="E5" s="73" t="str">
        <x:v>인계할 결과</x:v>
      </x:c>
      <x:c r="F5" s="73" t="str">
        <x:v>선행 ID</x:v>
      </x:c>
      <x:c r="G5" s="73" t="str">
        <x:v>후속 ID</x:v>
      </x:c>
      <x:c r="H5" s="73" t="str">
        <x:v>미달 시 처리</x:v>
      </x:c>
    </x:row>
    <x:row r="6" ht="70" customHeight="1">
      <x:c r="A6" s="74" t="str">
        <x:v>H01</x:v>
      </x:c>
      <x:c r="B6" s="74" t="str">
        <x:v>10/27</x:v>
      </x:c>
      <x:c r="C6" s="74" t="str">
        <x:v>M1</x:v>
      </x:c>
      <x:c r="D6" s="74" t="str">
        <x:v>M5·M2</x:v>
      </x:c>
      <x:c r="E6" s="74" t="str">
        <x:v>VPN 종단 도달·실제 WAN/반환 경로</x:v>
      </x:c>
      <x:c r="F6" s="74" t="str">
        <x:v>M1-A02</x:v>
      </x:c>
      <x:c r="G6" s="74" t="str">
        <x:v>M5-A03 / M2-A12</x:v>
      </x:c>
      <x:c r="H6" s="74" t="str">
        <x:v>미달 시 각 망 내부·앱 로컬 개발 계속</x:v>
      </x:c>
    </x:row>
    <x:row r="7" ht="70" customHeight="1">
      <x:c r="A7" s="74" t="str">
        <x:v>H02</x:v>
      </x:c>
      <x:c r="B7" s="74" t="str">
        <x:v>10/28</x:v>
      </x:c>
      <x:c r="C7" s="74" t="str">
        <x:v>M5</x:v>
      </x:c>
      <x:c r="D7" s="74" t="str">
        <x:v>M1·M2</x:v>
      </x:c>
      <x:c r="E7" s="74" t="str">
        <x:v>게시판 실행본·DDL·환경변수·정상 URL</x:v>
      </x:c>
      <x:c r="F7" s="74" t="str">
        <x:v>DEV03</x:v>
      </x:c>
      <x:c r="G7" s="74" t="str">
        <x:v>M1-A16 / M2-A13</x:v>
      </x:c>
      <x:c r="H7" s="74" t="str">
        <x:v>실행본 없는 상태는 임시 경로만 검증</x:v>
      </x:c>
    </x:row>
    <x:row r="8" ht="70" customHeight="1">
      <x:c r="A8" s="74" t="str">
        <x:v>H03</x:v>
      </x:c>
      <x:c r="B8" s="74" t="str">
        <x:v>10/28</x:v>
      </x:c>
      <x:c r="C8" s="74" t="str">
        <x:v>M3</x:v>
      </x:c>
      <x:c r="D8" s="74" t="str">
        <x:v>M4</x:v>
      </x:c>
      <x:c r="E8" s="74" t="str">
        <x:v>DB 버전·계정 역할·복제 조건·접속 창구</x:v>
      </x:c>
      <x:c r="F8" s="74" t="str">
        <x:v>M3-A07</x:v>
      </x:c>
      <x:c r="G8" s="74" t="str">
        <x:v>M4-A09</x:v>
      </x:c>
      <x:c r="H8" s="74" t="str">
        <x:v>M4는 VM/가짜 파일/감사·S3 권한 독립 준비</x:v>
      </x:c>
    </x:row>
    <x:row r="9" ht="70" customHeight="1">
      <x:c r="A9" s="74" t="str">
        <x:v>H04</x:v>
      </x:c>
      <x:c r="B9" s="74" t="str">
        <x:v>10/29</x:v>
      </x:c>
      <x:c r="C9" s="74" t="str">
        <x:v>M1·M3</x:v>
      </x:c>
      <x:c r="D9" s="74" t="str">
        <x:v>M5</x:v>
      </x:c>
      <x:c r="E9" s="74" t="str">
        <x:v>일반 라우팅·격리 Test DB·원 출발지 확인</x:v>
      </x:c>
      <x:c r="F9" s="74" t="str">
        <x:v>M1-A15 / M3-A10</x:v>
      </x:c>
      <x:c r="G9" s="74" t="str">
        <x:v>M5-A05 / M5-S01</x:v>
      </x:c>
      <x:c r="H9" s="74" t="str">
        <x:v>S05는 Store/AI 완료를 기다리지 않음</x:v>
      </x:c>
    </x:row>
    <x:row r="10" ht="70" customHeight="1">
      <x:c r="A10" s="74" t="str">
        <x:v>H05</x:v>
      </x:c>
      <x:c r="B10" s="74" t="str">
        <x:v>10/30</x:v>
      </x:c>
      <x:c r="C10" s="74" t="str">
        <x:v>M5</x:v>
      </x:c>
      <x:c r="D10" s="74" t="str">
        <x:v>M3</x:v>
      </x:c>
      <x:c r="E10" s="74" t="str">
        <x:v>OTT 최소 실행본·DB 명세·정상 URL</x:v>
      </x:c>
      <x:c r="F10" s="74" t="str">
        <x:v>DEV06</x:v>
      </x:c>
      <x:c r="G10" s="74" t="str">
        <x:v>M3-A11</x:v>
      </x:c>
      <x:c r="H10" s="74" t="str">
        <x:v>코드 인계 실패면 OTT 배포 미완료 명시</x:v>
      </x:c>
    </x:row>
    <x:row r="11" ht="70" customHeight="1">
      <x:c r="A11" s="74" t="str">
        <x:v>H06</x:v>
      </x:c>
      <x:c r="B11" s="74" t="str">
        <x:v>10/30</x:v>
      </x:c>
      <x:c r="C11" s="74" t="str">
        <x:v>M4</x:v>
      </x:c>
      <x:c r="D11" s="74" t="str">
        <x:v>M3·PL</x:v>
      </x:c>
      <x:c r="E11" s="74" t="str">
        <x:v>실제 덤프·별도 복원·기본 중계 결과</x:v>
      </x:c>
      <x:c r="F11" s="74" t="str">
        <x:v>M4-A17</x:v>
      </x:c>
      <x:c r="G11" s="74" t="str">
        <x:v>C05 / M4-S01</x:v>
      </x:c>
      <x:c r="H11" s="74" t="str">
        <x:v>복제/백업/복원 각각 판정</x:v>
      </x:c>
    </x:row>
    <x:row r="12" ht="70" customHeight="1">
      <x:c r="A12" s="74" t="str">
        <x:v>H07</x:v>
      </x:c>
      <x:c r="B12" s="74" t="str">
        <x:v>11/03</x:v>
      </x:c>
      <x:c r="C12" s="74" t="str">
        <x:v>각 공격 담당</x:v>
      </x:c>
      <x:c r="D12" s="74" t="str">
        <x:v>각 개선 담당·PL</x:v>
      </x:c>
      <x:c r="E12" s="74" t="str">
        <x:v>동일 조건·실제 결과·원인·AS-IS 보존</x:v>
      </x:c>
      <x:c r="F12" s="74" t="str">
        <x:v>M1~M5-S01</x:v>
      </x:c>
      <x:c r="G12" s="74" t="str">
        <x:v>M1~M5-T01</x:v>
      </x:c>
      <x:c r="H12" s="74" t="str">
        <x:v>원인 없이 제품 설치로 대체하지 않음</x:v>
      </x:c>
    </x:row>
    <x:row r="13" ht="70" customHeight="1">
      <x:c r="A13" s="74" t="str">
        <x:v>H08</x:v>
      </x:c>
      <x:c r="B13" s="74" t="str">
        <x:v>11/04</x:v>
      </x:c>
      <x:c r="C13" s="74" t="str">
        <x:v>M3·M5</x:v>
      </x:c>
      <x:c r="D13" s="74" t="str">
        <x:v>M3·M5</x:v>
      </x:c>
      <x:c r="E13" s="74" t="str">
        <x:v>선정 도구·접근권한·최소 자동화 범위</x:v>
      </x:c>
      <x:c r="F13" s="74" t="str">
        <x:v>DEV11</x:v>
      </x:c>
      <x:c r="G13" s="74" t="str">
        <x:v>DEV12</x:v>
      </x:c>
      <x:c r="H13" s="74" t="str">
        <x:v>한 서비스부터. 수동 배포 절차는 유지</x:v>
      </x:c>
    </x:row>
    <x:row r="14" ht="70" customHeight="1">
      <x:c r="A14" s="74" t="str">
        <x:v>H09</x:v>
      </x:c>
      <x:c r="B14" s="74" t="str">
        <x:v>11/09</x:v>
      </x:c>
      <x:c r="C14" s="74" t="str">
        <x:v>M3·M5</x:v>
      </x:c>
      <x:c r="D14" s="74" t="str">
        <x:v>전원</x:v>
      </x:c>
      <x:c r="E14" s="74" t="str">
        <x:v>실제 앱·자막·세션·롤백 최종 인수</x:v>
      </x:c>
      <x:c r="F14" s="74" t="str">
        <x:v>DEV14~DEV16</x:v>
      </x:c>
      <x:c r="G14" s="74" t="str">
        <x:v>재검증·발표</x:v>
      </x:c>
      <x:c r="H14" s="74" t="str">
        <x:v>인프라 11/06 확인과 앱 최종 인수 구분</x:v>
      </x:c>
    </x:row>
    <x:row r="15" ht="70" customHeight="1">
      <x:c r="A15" s="74" t="str">
        <x:v>H10</x:v>
      </x:c>
      <x:c r="B15" s="74" t="str">
        <x:v>11/11~12</x:v>
      </x:c>
      <x:c r="C15" s="74" t="str">
        <x:v>전원</x:v>
      </x:c>
      <x:c r="D15" s="74" t="str">
        <x:v>PM·PL</x:v>
      </x:c>
      <x:c r="E15" s="74" t="str">
        <x:v>망별 증거·본인 기여·미수행·대체 시연</x:v>
      </x:c>
      <x:c r="F15" s="74" t="str">
        <x:v>M1~M5-F01</x:v>
      </x:c>
      <x:c r="G15" s="74" t="str">
        <x:v>F01</x:v>
      </x:c>
      <x:c r="H15" s="74" t="str">
        <x:v>증거 없는 기능은 성과로 표시 금지</x:v>
      </x:c>
    </x:row>
    <x:row r="19">
      <x:c r="A19" s="82" t="str">
        <x:v>2026.10.26 변경 이력</x:v>
      </x:c>
    </x:row>
    <x:row r="21" ht="30" customHeight="1">
      <x:c r="A21" s="84" t="str">
        <x:v>일자</x:v>
      </x:c>
      <x:c r="B21" s="84" t="str">
        <x:v>대상</x:v>
      </x:c>
      <x:c r="C21" s="84" t="str">
        <x:v>변경 전</x:v>
      </x:c>
      <x:c r="D21" s="84" t="str">
        <x:v>변경 후</x:v>
      </x:c>
      <x:c r="E21" s="84" t="str">
        <x:v>사유</x:v>
      </x:c>
      <x:c r="F21" s="84" t="str">
        <x:v>확정 구분</x:v>
      </x:c>
      <x:c r="G21" s="84" t="str">
        <x:v>후속 영향</x:v>
      </x:c>
    </x:row>
    <x:row r="22" ht="110" customHeight="1">
      <x:c r="A22" s="90" t="n">
        <x:v>46321</x:v>
      </x:c>
      <x:c r="B22" s="91" t="str">
        <x:v>일정</x:v>
      </x:c>
      <x:c r="C22" s="91" t="str">
        <x:v>AS-IS 10/28</x:v>
      </x:c>
      <x:c r="D22" s="91" t="str">
        <x:v>AS-IS 10/30</x:v>
      </x:c>
      <x:c r="E22" s="91" t="str">
        <x:v>M3 구조 변경·M4 재설계·실제 진척 반영</x:v>
      </x:c>
      <x:c r="F22" s="91" t="str">
        <x:v>팀 결정(사용자 전달)</x:v>
      </x:c>
      <x:c r="G22" s="91" t="str">
        <x:v>공격 전체 11/02·TO-BE 11/03 제안. 발표 11/16 유지</x:v>
      </x:c>
    </x:row>
    <x:row r="23" ht="110" customHeight="1">
      <x:c r="A23" s="90" t="n">
        <x:v>46321</x:v>
      </x:c>
      <x:c r="B23" s="91" t="str">
        <x:v>M3</x:v>
      </x:c>
      <x:c r="C23" s="91" t="str">
        <x:v>기존 APP 구역/실행 연결</x:v>
      </x:c>
      <x:c r="D23" s="91" t="str">
        <x:v>ESXi 내부 Linux VM의 Kubernetes</x:v>
      </x:c>
      <x:c r="E23" s="91" t="str">
        <x:v>관리망·노드망 실제 경로 재대조</x:v>
      </x:c>
      <x:c r="F23" s="91" t="str">
        <x:v>팀 결정(사용자 전달)</x:v>
      </x:c>
      <x:c r="G23" s="91" t="str">
        <x:v>노드 가입·CNI·DB 인계·배포 순서 상세화</x:v>
      </x:c>
    </x:row>
    <x:row r="24" ht="110" customHeight="1">
      <x:c r="A24" s="90" t="n">
        <x:v>46321</x:v>
      </x:c>
      <x:c r="B24" s="91" t="str">
        <x:v>M4</x:v>
      </x:c>
      <x:c r="C24" s="91" t="str">
        <x:v>단일 BACKUP·Replica TO-BE</x:v>
      </x:c>
      <x:c r="D24" s="91" t="str">
        <x:v>OPS/REPLICA/BACKUP/PROXY 4구간</x:v>
      </x:c>
      <x:c r="E24" s="91" t="str">
        <x:v>최신 PNG·회의의 재설계 반영</x:v>
      </x:c>
      <x:c r="F24" s="91" t="str">
        <x:v>팀 확정</x:v>
      </x:c>
      <x:c r="G24" s="91" t="str">
        <x:v>기존 완료 체크는 보존. 새 경로 재검증·Replica 초기화·덤프·별도 복원 분리</x:v>
      </x:c>
    </x:row>
    <x:row r="25" ht="110" customHeight="1">
      <x:c r="A25" s="90" t="n">
        <x:v>46321</x:v>
      </x:c>
      <x:c r="B25" s="91" t="str">
        <x:v>CI/CD</x:v>
      </x:c>
      <x:c r="C25" s="91" t="str">
        <x:v>Actions+Argo CD 기본안</x:v>
      </x:c>
      <x:c r="D25" s="91" t="str">
        <x:v>착수 시 Actions+Argo CD / Jenkins 선정</x:v>
      </x:c>
      <x:c r="E25" s="91" t="str">
        <x:v>실행 자원·연동 작업 시간 확인 후 선택</x:v>
      </x:c>
      <x:c r="F25" s="91" t="str">
        <x:v>팀 결정(사용자 전달)</x:v>
      </x:c>
      <x:c r="G25" s="91" t="str">
        <x:v>11/04 선정 목표·미리 특정 도구 확정 금지</x:v>
      </x:c>
    </x:row>
    <x:row r="26" ht="110" customHeight="1">
      <x:c r="A26" s="90" t="n">
        <x:v>46321</x:v>
      </x:c>
      <x:c r="B26" s="91" t="str">
        <x:v>개발</x:v>
      </x:c>
      <x:c r="C26" s="91" t="str">
        <x:v>OTT 10/28·Store 10/30·AWS 10/31</x:v>
      </x:c>
      <x:c r="D26" s="91" t="str">
        <x:v>10/30 게시판/OTT 최소 인계·Store AWS 11/05 목표</x:v>
      </x:c>
      <x:c r="E26" s="91" t="str">
        <x:v>개발 진척·M5 업무 집중·가용시간 반영</x:v>
      </x:c>
      <x:c r="F26" s="91" t="str">
        <x:v>PM 조정안</x:v>
      </x:c>
      <x:c r="G26" s="91" t="str">
        <x:v>기존 코드 재사용 조건. 10/28 점검 미달 시 Store 후속 일정 재조정</x:v>
      </x:c>
    </x:row>
    <x:row r="27" ht="110" customHeight="1">
      <x:c r="A27" s="90" t="n">
        <x:v>46321</x:v>
      </x:c>
      <x:c r="B27" s="91" t="str">
        <x:v>AI·통합</x:v>
      </x:c>
      <x:c r="C27" s="91" t="str">
        <x:v>AI 11/04·전 기능 통합 11/06</x:v>
      </x:c>
      <x:c r="D27" s="91" t="str">
        <x:v>11/06 자막 파일 목표·11/09 앱 최종 인수</x:v>
      </x:c>
      <x:c r="E27" s="91" t="str">
        <x:v>필수 인프라·배포·보안 시험 우선</x:v>
      </x:c>
      <x:c r="F27" s="91" t="str">
        <x:v>PM 조정안</x:v>
      </x:c>
      <x:c r="G27" s="91" t="str">
        <x:v>챗봇/프랑스어/실시간·두 사이트 자동화 고도화 보류</x:v>
      </x:c>
    </x:row>
    <x:row r="28" ht="110" customHeight="1">
      <x:c r="A28" s="90" t="n">
        <x:v>46321</x:v>
      </x:c>
      <x:c r="B28" s="91" t="str">
        <x:v>실적</x:v>
      </x:c>
      <x:c r="C28" s="91" t="str">
        <x:v>엑셀 상태와 Issue 일부 불일치</x:v>
      </x:c>
      <x:c r="D28" s="91" t="str">
        <x:v>기존 보고·현재 재확인·미확인 구분</x:v>
      </x:c>
      <x:c r="E28" s="91" t="str">
        <x:v>과거 성공을 새 설계 완료로 오인 방지</x:v>
      </x:c>
      <x:c r="F28" s="91" t="str">
        <x:v>관리 원칙</x:v>
      </x:c>
      <x:c r="G28" s="91" t="str">
        <x:v>Issue 번호·체크·댓글 보존. 증거 없으면 완료로 승격하지 않음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xSplit="3" ySplit="5" topLeftCell="D6" activePane="bottomRight" state="frozen"/>
    </x:sheetView>
  </x:sheetViews>
  <x:sheetFormatPr defaultRowHeight="15"/>
  <x:cols>
    <x:col min="1" max="1" width="14" hidden="0" customWidth="1"/>
    <x:col min="2" max="2" width="18" hidden="0" customWidth="1"/>
    <x:col min="3" max="3" width="12" hidden="0" customWidth="1"/>
    <x:col min="4" max="4" width="12" hidden="0" customWidth="1"/>
    <x:col min="5" max="5" width="14" hidden="0" customWidth="1"/>
    <x:col min="6" max="6" width="17" hidden="0" customWidth="1"/>
    <x:col min="7" max="7" width="16" hidden="0" customWidth="1"/>
    <x:col min="8" max="8" width="16" hidden="0" customWidth="1"/>
    <x:col min="9" max="9" width="14" hidden="0" customWidth="1"/>
    <x:col min="10" max="10" width="80" hidden="0" customWidth="1"/>
  </x:cols>
  <x:sheetData>
    <x:row r="1">
      <x:c r="A1" s="67"/>
      <x:c r="B1" s="67"/>
      <x:c r="C1" s="67"/>
      <x:c r="D1" s="67"/>
      <x:c r="E1" s="67"/>
      <x:c r="F1" s="67"/>
      <x:c r="G1" s="67"/>
      <x:c r="H1" s="67"/>
      <x:c r="I1" s="67"/>
      <x:c r="J1" s="67"/>
    </x:row>
    <x:row r="2">
      <x:c r="A2" s="68" t="str">
        <x:v>M5 시간계획 · 2026.10.26</x:v>
      </x:c>
      <x:c r="B2" s="67"/>
      <x:c r="C2" s="67"/>
      <x:c r="D2" s="67"/>
      <x:c r="E2" s="67"/>
      <x:c r="F2" s="67"/>
      <x:c r="G2" s="67"/>
      <x:c r="H2" s="67"/>
      <x:c r="I2" s="67"/>
      <x:c r="J2" s="67"/>
    </x:row>
    <x:row r="3">
      <x:c r="A3" s="67" t="str">
        <x:v>PM 가정: 평일 2h·주말 묶음 합계 8h. 실제 가용시간·실제 소요 시간 확인 필요. 10/26 작업분은 소급 배정하지 않음.</x:v>
      </x:c>
      <x:c r="B3" s="67"/>
      <x:c r="C3" s="67"/>
      <x:c r="D3" s="67"/>
      <x:c r="E3" s="67"/>
      <x:c r="F3" s="67"/>
      <x:c r="G3" s="67"/>
      <x:c r="H3" s="67"/>
      <x:c r="I3" s="67"/>
      <x:c r="J3" s="67"/>
    </x:row>
    <x:row r="4">
      <x:c r="A4" s="67"/>
      <x:c r="B4" s="67"/>
      <x:c r="C4" s="67"/>
      <x:c r="D4" s="67"/>
      <x:c r="E4" s="67"/>
      <x:c r="F4" s="67"/>
      <x:c r="G4" s="67"/>
      <x:c r="H4" s="67"/>
      <x:c r="I4" s="67"/>
      <x:c r="J4" s="67"/>
    </x:row>
    <x:row r="5" ht="30" customHeight="1">
      <x:c r="A5" s="73" t="str">
        <x:v>기준일</x:v>
      </x:c>
      <x:c r="B5" s="73" t="str">
        <x:v>가용 구분</x:v>
      </x:c>
      <x:c r="C5" s="73" t="str">
        <x:v>가용 h</x:v>
      </x:c>
      <x:c r="D5" s="73" t="str">
        <x:v>PM h</x:v>
      </x:c>
      <x:c r="E5" s="73" t="str">
        <x:v>망·보안 h</x:v>
      </x:c>
      <x:c r="F5" s="73" t="str">
        <x:v>개발·AWS h</x:v>
      </x:c>
      <x:c r="G5" s="73" t="str">
        <x:v>오류 여유 h</x:v>
      </x:c>
      <x:c r="H5" s="73" t="str">
        <x:v>계획 합계 h</x:v>
      </x:c>
      <x:c r="I5" s="73" t="str">
        <x:v>남은 h</x:v>
      </x:c>
      <x:c r="J5" s="73" t="str">
        <x:v>작업 계획</x:v>
      </x:c>
    </x:row>
    <x:row r="6" ht="52" customHeight="1">
      <x:c r="A6" s="75" t="n">
        <x:v>46322</x:v>
      </x:c>
      <x:c r="B6" s="74" t="str">
        <x:v>평일</x:v>
      </x:c>
      <x:c r="C6" s="94" t="n">
        <x:v>2</x:v>
      </x:c>
      <x:c r="D6" s="94" t="n">
        <x:v>0.5</x:v>
      </x:c>
      <x:c r="E6" s="94" t="n">
        <x:v>0.5</x:v>
      </x:c>
      <x:c r="F6" s="94" t="n">
        <x:v>0.75</x:v>
      </x:c>
      <x:c r="G6" s="94" t="n">
        <x:v>0.25</x:v>
      </x:c>
      <x:c r="H6" s="92" t="n">
        <x:f>SUM(D6:G6)</x:f>
        <x:v>2</x:v>
      </x:c>
      <x:c r="I6" s="92" t="n">
        <x:f>C6-H6</x:f>
        <x:v>0</x:v>
      </x:c>
      <x:c r="J6" s="74" t="str">
        <x:v>기본망 대조·VPN 조건·기존 코드 실행</x:v>
      </x:c>
    </x:row>
    <x:row r="7" ht="52" customHeight="1">
      <x:c r="A7" s="75" t="n">
        <x:v>46323</x:v>
      </x:c>
      <x:c r="B7" s="74" t="str">
        <x:v>평일</x:v>
      </x:c>
      <x:c r="C7" s="94" t="n">
        <x:v>2</x:v>
      </x:c>
      <x:c r="D7" s="94" t="n">
        <x:v>0.25</x:v>
      </x:c>
      <x:c r="E7" s="94" t="n">
        <x:v>0.25</x:v>
      </x:c>
      <x:c r="F7" s="94" t="n">
        <x:v>1.25</x:v>
      </x:c>
      <x:c r="G7" s="94" t="n">
        <x:v>0.25</x:v>
      </x:c>
      <x:c r="H7" s="92" t="n">
        <x:f>SUM(D7:G7)</x:f>
        <x:v>2</x:v>
      </x:c>
      <x:c r="I7" s="92" t="n">
        <x:f>C7-H7</x:f>
        <x:v>0</x:v>
      </x:c>
      <x:c r="J7" s="74" t="str">
        <x:v>게시판 최소 기능·인계, AWS 권한 판정</x:v>
      </x:c>
    </x:row>
    <x:row r="8" ht="52" customHeight="1">
      <x:c r="A8" s="75" t="n">
        <x:v>46324</x:v>
      </x:c>
      <x:c r="B8" s="74" t="str">
        <x:v>평일</x:v>
      </x:c>
      <x:c r="C8" s="94" t="n">
        <x:v>2</x:v>
      </x:c>
      <x:c r="D8" s="94" t="n">
        <x:v>0.25</x:v>
      </x:c>
      <x:c r="E8" s="94" t="n">
        <x:v>0.5</x:v>
      </x:c>
      <x:c r="F8" s="94" t="n">
        <x:v>1.25</x:v>
      </x:c>
      <x:c r="G8" s="94" t="n">
        <x:v>0</x:v>
      </x:c>
      <x:c r="H8" s="92" t="n">
        <x:f>SUM(D8:G8)</x:f>
        <x:v>2</x:v>
      </x:c>
      <x:c r="I8" s="92" t="n">
        <x:f>C8-H8</x:f>
        <x:v>0</x:v>
      </x:c>
      <x:c r="J8" s="74" t="str">
        <x:v>VPN 공동 확인·OTT 목록/재생</x:v>
      </x:c>
    </x:row>
    <x:row r="9" ht="52" customHeight="1">
      <x:c r="A9" s="75" t="n">
        <x:v>46325</x:v>
      </x:c>
      <x:c r="B9" s="74" t="str">
        <x:v>평일</x:v>
      </x:c>
      <x:c r="C9" s="94" t="n">
        <x:v>2</x:v>
      </x:c>
      <x:c r="D9" s="94" t="n">
        <x:v>0.25</x:v>
      </x:c>
      <x:c r="E9" s="94" t="n">
        <x:v>0.5</x:v>
      </x:c>
      <x:c r="F9" s="94" t="n">
        <x:v>1.25</x:v>
      </x:c>
      <x:c r="G9" s="94" t="n">
        <x:v>0</x:v>
      </x:c>
      <x:c r="H9" s="92" t="n">
        <x:f>SUM(D9:G9)</x:f>
        <x:v>2</x:v>
      </x:c>
      <x:c r="I9" s="92" t="n">
        <x:f>C9-H9</x:f>
        <x:v>0</x:v>
      </x:c>
      <x:c r="J9" s="74" t="str">
        <x:v>OTT 로그인·인계·S05 준비</x:v>
      </x:c>
    </x:row>
    <x:row r="10" ht="52" customHeight="1">
      <x:c r="A10" s="75" t="n">
        <x:v>46326</x:v>
      </x:c>
      <x:c r="B10" s="74" t="str">
        <x:v>주말 묶음</x:v>
      </x:c>
      <x:c r="C10" s="94" t="n">
        <x:v>8</x:v>
      </x:c>
      <x:c r="D10" s="94" t="n">
        <x:v>1</x:v>
      </x:c>
      <x:c r="E10" s="94" t="n">
        <x:v>0</x:v>
      </x:c>
      <x:c r="F10" s="94" t="n">
        <x:v>6</x:v>
      </x:c>
      <x:c r="G10" s="94" t="n">
        <x:v>1</x:v>
      </x:c>
      <x:c r="H10" s="92" t="n">
        <x:f>SUM(D10:G10)</x:f>
        <x:v>8</x:v>
      </x:c>
      <x:c r="I10" s="92" t="n">
        <x:f>C10-H10</x:f>
        <x:v>0</x:v>
      </x:c>
      <x:c r="J10" s="74" t="str">
        <x:v>10/31~11/01 합계 8h 가정. Store 로컬3h+AWS기반3h</x:v>
      </x:c>
    </x:row>
    <x:row r="11" ht="52" customHeight="1">
      <x:c r="A11" s="75" t="n">
        <x:v>46328</x:v>
      </x:c>
      <x:c r="B11" s="74" t="str">
        <x:v>평일</x:v>
      </x:c>
      <x:c r="C11" s="94" t="n">
        <x:v>2</x:v>
      </x:c>
      <x:c r="D11" s="94" t="n">
        <x:v>0.5</x:v>
      </x:c>
      <x:c r="E11" s="94" t="n">
        <x:v>0.5</x:v>
      </x:c>
      <x:c r="F11" s="94" t="n">
        <x:v>0</x:v>
      </x:c>
      <x:c r="G11" s="94" t="n">
        <x:v>1</x:v>
      </x:c>
      <x:c r="H11" s="92" t="n">
        <x:f>SUM(D11:G11)</x:f>
        <x:v>2</x:v>
      </x:c>
      <x:c r="I11" s="92" t="n">
        <x:f>C11-H11</x:f>
        <x:v>0</x:v>
      </x:c>
      <x:c r="J11" s="74" t="str">
        <x:v>S05 시험·분석·남은 AWS 오류 보완</x:v>
      </x:c>
    </x:row>
    <x:row r="12" ht="52" customHeight="1">
      <x:c r="A12" s="75" t="n">
        <x:v>46329</x:v>
      </x:c>
      <x:c r="B12" s="74" t="str">
        <x:v>평일</x:v>
      </x:c>
      <x:c r="C12" s="94" t="n">
        <x:v>2</x:v>
      </x:c>
      <x:c r="D12" s="94" t="n">
        <x:v>0.25</x:v>
      </x:c>
      <x:c r="E12" s="94" t="n">
        <x:v>0.25</x:v>
      </x:c>
      <x:c r="F12" s="94" t="n">
        <x:v>1.25</x:v>
      </x:c>
      <x:c r="G12" s="94" t="n">
        <x:v>0.25</x:v>
      </x:c>
      <x:c r="H12" s="92" t="n">
        <x:f>SUM(D12:G12)</x:f>
        <x:v>2</x:v>
      </x:c>
      <x:c r="I12" s="92" t="n">
        <x:f>C12-H12</x:f>
        <x:v>0</x:v>
      </x:c>
      <x:c r="J12" s="74" t="str">
        <x:v>TO-BE 설계·Store 초기 연결·AI 사전 시험</x:v>
      </x:c>
    </x:row>
    <x:row r="13" ht="52" customHeight="1">
      <x:c r="A13" s="75" t="n">
        <x:v>46330</x:v>
      </x:c>
      <x:c r="B13" s="74" t="str">
        <x:v>평일</x:v>
      </x:c>
      <x:c r="C13" s="94" t="n">
        <x:v>2</x:v>
      </x:c>
      <x:c r="D13" s="94" t="n">
        <x:v>0.25</x:v>
      </x:c>
      <x:c r="E13" s="94" t="n">
        <x:v>0.25</x:v>
      </x:c>
      <x:c r="F13" s="94" t="n">
        <x:v>1.25</x:v>
      </x:c>
      <x:c r="G13" s="94" t="n">
        <x:v>0.25</x:v>
      </x:c>
      <x:c r="H13" s="92" t="n">
        <x:f>SUM(D13:G13)</x:f>
        <x:v>2</x:v>
      </x:c>
      <x:c r="I13" s="92" t="n">
        <x:f>C13-H13</x:f>
        <x:v>0</x:v>
      </x:c>
      <x:c r="J13" s="74" t="str">
        <x:v>Store 연동·CI/CD 선정·AI 파일 작업</x:v>
      </x:c>
    </x:row>
    <x:row r="14" ht="52" customHeight="1">
      <x:c r="A14" s="75" t="n">
        <x:v>46331</x:v>
      </x:c>
      <x:c r="B14" s="74" t="str">
        <x:v>평일</x:v>
      </x:c>
      <x:c r="C14" s="94" t="n">
        <x:v>2</x:v>
      </x:c>
      <x:c r="D14" s="94" t="n">
        <x:v>0.25</x:v>
      </x:c>
      <x:c r="E14" s="94" t="n">
        <x:v>0.25</x:v>
      </x:c>
      <x:c r="F14" s="94" t="n">
        <x:v>1.25</x:v>
      </x:c>
      <x:c r="G14" s="94" t="n">
        <x:v>0.25</x:v>
      </x:c>
      <x:c r="H14" s="92" t="n">
        <x:f>SUM(D14:G14)</x:f>
        <x:v>2</x:v>
      </x:c>
      <x:c r="I14" s="92" t="n">
        <x:f>C14-H14</x:f>
        <x:v>0</x:v>
      </x:c>
      <x:c r="J14" s="74" t="str">
        <x:v>도메인 HTTPS·자동화 최소 경로</x:v>
      </x:c>
    </x:row>
    <x:row r="15" ht="52" customHeight="1">
      <x:c r="A15" s="75" t="n">
        <x:v>46332</x:v>
      </x:c>
      <x:c r="B15" s="74" t="str">
        <x:v>평일</x:v>
      </x:c>
      <x:c r="C15" s="94" t="n">
        <x:v>2</x:v>
      </x:c>
      <x:c r="D15" s="94" t="n">
        <x:v>0.25</x:v>
      </x:c>
      <x:c r="E15" s="94" t="n">
        <x:v>0.25</x:v>
      </x:c>
      <x:c r="F15" s="94" t="n">
        <x:v>1</x:v>
      </x:c>
      <x:c r="G15" s="94" t="n">
        <x:v>0.5</x:v>
      </x:c>
      <x:c r="H15" s="92" t="n">
        <x:f>SUM(D15:G15)</x:f>
        <x:v>2</x:v>
      </x:c>
      <x:c r="I15" s="92" t="n">
        <x:f>C15-H15</x:f>
        <x:v>0</x:v>
      </x:c>
      <x:c r="J15" s="74" t="str">
        <x:v>인프라 개선 확인·AI 파일·자동화 중간 확인</x:v>
      </x:c>
    </x:row>
    <x:row r="16" ht="52" customHeight="1">
      <x:c r="A16" s="75" t="n">
        <x:v>46333</x:v>
      </x:c>
      <x:c r="B16" s="74" t="str">
        <x:v>주말 묶음</x:v>
      </x:c>
      <x:c r="C16" s="94" t="n">
        <x:v>8</x:v>
      </x:c>
      <x:c r="D16" s="94" t="n">
        <x:v>1</x:v>
      </x:c>
      <x:c r="E16" s="94" t="n">
        <x:v>0.5</x:v>
      </x:c>
      <x:c r="F16" s="94" t="n">
        <x:v>5</x:v>
      </x:c>
      <x:c r="G16" s="94" t="n">
        <x:v>1.5</x:v>
      </x:c>
      <x:c r="H16" s="92" t="n">
        <x:f>SUM(D16:G16)</x:f>
        <x:v>8</x:v>
      </x:c>
      <x:c r="I16" s="92" t="n">
        <x:f>C16-H16</x:f>
        <x:v>0</x:v>
      </x:c>
      <x:c r="J16" s="74" t="str">
        <x:v>11/07~08 합계 8h 가정. AI 웹2h·세션1.5h·통합1.5h</x:v>
      </x:c>
    </x:row>
    <x:row r="17" ht="52" customHeight="1">
      <x:c r="A17" s="75" t="n">
        <x:v>46335</x:v>
      </x:c>
      <x:c r="B17" s="74" t="str">
        <x:v>평일</x:v>
      </x:c>
      <x:c r="C17" s="94" t="n">
        <x:v>2</x:v>
      </x:c>
      <x:c r="D17" s="94" t="n">
        <x:v>0.5</x:v>
      </x:c>
      <x:c r="E17" s="94" t="n">
        <x:v>0.5</x:v>
      </x:c>
      <x:c r="F17" s="94" t="n">
        <x:v>0.5</x:v>
      </x:c>
      <x:c r="G17" s="94" t="n">
        <x:v>0.5</x:v>
      </x:c>
      <x:c r="H17" s="92" t="n">
        <x:f>SUM(D17:G17)</x:f>
        <x:v>2</x:v>
      </x:c>
      <x:c r="I17" s="92" t="n">
        <x:f>C17-H17</x:f>
        <x:v>0</x:v>
      </x:c>
      <x:c r="J17" s="74" t="str">
        <x:v>공동 재검증·RDS 복원·회귀</x:v>
      </x:c>
    </x:row>
    <x:row r="18" ht="52" customHeight="1">
      <x:c r="A18" s="75" t="n">
        <x:v>46336</x:v>
      </x:c>
      <x:c r="B18" s="74" t="str">
        <x:v>평일</x:v>
      </x:c>
      <x:c r="C18" s="94" t="n">
        <x:v>2</x:v>
      </x:c>
      <x:c r="D18" s="94" t="n">
        <x:v>0.5</x:v>
      </x:c>
      <x:c r="E18" s="94" t="n">
        <x:v>0.5</x:v>
      </x:c>
      <x:c r="F18" s="94" t="n">
        <x:v>0.5</x:v>
      </x:c>
      <x:c r="G18" s="94" t="n">
        <x:v>0.5</x:v>
      </x:c>
      <x:c r="H18" s="92" t="n">
        <x:f>SUM(D18:G18)</x:f>
        <x:v>2</x:v>
      </x:c>
      <x:c r="I18" s="92" t="n">
        <x:f>C18-H18</x:f>
        <x:v>0</x:v>
      </x:c>
      <x:c r="J18" s="74" t="str">
        <x:v>재검증 보완·RDS 정리·증거</x:v>
      </x:c>
    </x:row>
    <x:row r="19">
      <x:c r="C19" s="93"/>
      <x:c r="D19" s="93"/>
      <x:c r="E19" s="93"/>
      <x:c r="F19" s="93"/>
      <x:c r="G19" s="93"/>
      <x:c r="H19" s="93"/>
      <x:c r="I19" s="93"/>
    </x:row>
    <x:row r="20" ht="30" customHeight="1">
      <x:c r="B20" s="97" t="str">
        <x:v>합계</x:v>
      </x:c>
      <x:c r="C20" s="98" t="n">
        <x:f>SUM(C6:C18)</x:f>
        <x:v>38</x:v>
      </x:c>
      <x:c r="D20" s="98" t="n">
        <x:f>SUM(D6:D18)</x:f>
        <x:v>5.75</x:v>
      </x:c>
      <x:c r="E20" s="98" t="n">
        <x:f>SUM(E6:E18)</x:f>
        <x:v>4.75</x:v>
      </x:c>
      <x:c r="F20" s="98" t="n">
        <x:f>SUM(F6:F18)</x:f>
        <x:v>21.25</x:v>
      </x:c>
      <x:c r="G20" s="98" t="n">
        <x:f>SUM(G6:G18)</x:f>
        <x:v>6.25</x:v>
      </x:c>
      <x:c r="H20" s="98" t="n">
        <x:f>SUM(H6:H18)</x:f>
        <x:v>38</x:v>
      </x:c>
      <x:c r="I20" s="98" t="n">
        <x:f>SUM(I6:I18)</x:f>
        <x:v>0</x:v>
      </x:c>
    </x:row>
    <x:row r="23" ht="36" customHeight="1">
      <x:c r="A23" s="89" t="str">
        <x:v>이 표는 확정 작업 시간가 아니라 가용시간 배분안. 모든 기능의 실측 소요가 이 안에 들어온다는 보장은 없음.</x:v>
      </x:c>
      <x:c r="B23" s="89"/>
      <x:c r="C23" s="89"/>
      <x:c r="D23" s="89"/>
      <x:c r="E23" s="89"/>
      <x:c r="F23" s="89"/>
      <x:c r="G23" s="89"/>
      <x:c r="H23" s="89"/>
      <x:c r="I23" s="89"/>
      <x:c r="J23" s="89"/>
    </x:row>
    <x:row r="24" ht="36" customHeight="1">
      <x:c r="A24" s="89" t="str">
        <x:v>10/27–30 총8h: 기존 코드가 실행 가능할 때 게시판·OTT 최소 인계 목표. 10/28 잔여 작업 시간 초과 시 같은 날 범위 재판정.</x:v>
      </x:c>
      <x:c r="B24" s="89"/>
      <x:c r="C24" s="89"/>
      <x:c r="D24" s="89"/>
      <x:c r="E24" s="89"/>
      <x:c r="F24" s="89"/>
      <x:c r="G24" s="89"/>
      <x:c r="H24" s="89"/>
      <x:c r="I24" s="89"/>
      <x:c r="J24" s="89"/>
    </x:row>
    <x:row r="25" ht="36" customHeight="1">
      <x:c r="A25" s="89" t="str">
        <x:v>주말은 각각 이틀 합계8h 가정. 실제 양일 모두 작업 가능하다고 가정하지 않음. 한 날짜는 묶음 시작일.</x:v>
      </x:c>
      <x:c r="B25" s="89"/>
      <x:c r="C25" s="89"/>
      <x:c r="D25" s="89"/>
      <x:c r="E25" s="89"/>
      <x:c r="F25" s="89"/>
      <x:c r="G25" s="89"/>
      <x:c r="H25" s="89"/>
      <x:c r="I25" s="89"/>
      <x:c r="J25" s="89"/>
    </x:row>
    <x:row r="26" ht="36" customHeight="1">
      <x:c r="A26" s="89" t="str">
        <x:v>11/06 인프라 중간 확인·11/09 AI 포함 앱 최종 인수 목표. 기능 미달 시 추가 기능보다 통합·재시험 우선.</x:v>
      </x:c>
      <x:c r="B26" s="89"/>
      <x:c r="C26" s="89"/>
      <x:c r="D26" s="89"/>
      <x:c r="E26" s="89"/>
      <x:c r="F26" s="89"/>
      <x:c r="G26" s="89"/>
      <x:c r="H26" s="89"/>
      <x:c r="I26" s="89"/>
      <x:c r="J26" s="89"/>
    </x:row>
    <x:row r="27" ht="36" customHeight="1">
      <x:c r="A27" s="89" t="str">
        <x:v>범위 조정 후보: 두 사이트 전체 자동화·Nginx B/VIP·전 인프라 재생성. 보류: 챗봇·프랑스어·SSO·실제 결제·자동 DB 승격.</x:v>
      </x:c>
      <x:c r="B27" s="89"/>
      <x:c r="C27" s="89"/>
      <x:c r="D27" s="89"/>
      <x:c r="E27" s="89"/>
      <x:c r="F27" s="89"/>
      <x:c r="G27" s="89"/>
      <x:c r="H27" s="89"/>
      <x:c r="I27" s="89"/>
      <x:c r="J27" s="89"/>
    </x:row>
  </x:sheetData>
  <x:mergeCells>
    <x:mergeCell ref="A23:J23"/>
    <x:mergeCell ref="A24:J24"/>
    <x:mergeCell ref="A25:J25"/>
    <x:mergeCell ref="A26:J26"/>
    <x:mergeCell ref="A27:J27"/>
  </x:mergeCells>
  <x:conditionalFormatting sqref="I6:I18">
    <x:cfRule type="cellIs" dxfId="2" priority="1" operator="lessThan">
      <x:formula>0</x:formula>
    </x:cfRule>
  </x:conditionalFormatting>
  <x:pageMargins left="0.7" right="0.7" top="0.75" bottom="0.75" header="0.3" footer="0.3"/>
</x:worksheet>
</file>